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tglbuc-my.sharepoint.com/personal/mohanraj_v_kantar_com/Documents/Documents/coke/02. Pre analysis/"/>
    </mc:Choice>
  </mc:AlternateContent>
  <xr:revisionPtr revIDLastSave="344" documentId="8_{3B2B9C2F-C28E-4179-A1F9-EBE926FD027F}" xr6:coauthVersionLast="47" xr6:coauthVersionMax="47" xr10:uidLastSave="{7627E8B9-3028-44F4-AC07-4B3502DBB5D7}"/>
  <bookViews>
    <workbookView xWindow="-110" yWindow="-110" windowWidth="19420" windowHeight="10420" tabRatio="920" activeTab="5" xr2:uid="{077F2722-B488-441D-A942-AE448D86FEBA}"/>
  </bookViews>
  <sheets>
    <sheet name="Xcorrels Coke Brazil" sheetId="19" r:id="rId1"/>
    <sheet name="Xcorrels Fanta Brazil" sheetId="29" r:id="rId2"/>
    <sheet name="Xcorrels Sprite Brazil" sheetId="30" r:id="rId3"/>
    <sheet name="Endorsement Brazil" sheetId="20" r:id="rId4"/>
    <sheet name="BIPs Brazil" sheetId="23" r:id="rId5"/>
    <sheet name="CorrespondenceMap Brazil" sheetId="22" r:id="rId6"/>
    <sheet name="F1" sheetId="26" state="hidden" r:id="rId7"/>
    <sheet name="TEMP" sheetId="5" state="hidden" r:id="rId8"/>
    <sheet name="Sheet8" sheetId="18" state="hidden" r:id="rId9"/>
    <sheet name="Sheet5" sheetId="13" state="hidden" r:id="rId10"/>
    <sheet name="Sheet1" sheetId="6" state="hidden" r:id="rId11"/>
    <sheet name="Sheet2" sheetId="7" state="hidden" r:id="rId12"/>
    <sheet name="Sheet3" sheetId="8" state="hidden" r:id="rId13"/>
    <sheet name="Sheet4" sheetId="9" state="hidden" r:id="rId14"/>
    <sheet name="Sheet7" sheetId="12" state="hidden" r:id="rId15"/>
    <sheet name="Sheet6" sheetId="11" state="hidden" r:id="rId1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1" i="11" l="1"/>
  <c r="W31" i="11"/>
  <c r="V31" i="11"/>
  <c r="X32" i="11"/>
  <c r="W32" i="11"/>
  <c r="V32" i="11"/>
  <c r="U32" i="11"/>
  <c r="X33" i="11"/>
  <c r="W33" i="11"/>
  <c r="V33" i="11"/>
  <c r="U33" i="11"/>
  <c r="T33" i="11"/>
  <c r="X34" i="11"/>
  <c r="W34" i="11"/>
  <c r="V34" i="11"/>
  <c r="U34" i="11"/>
  <c r="T34" i="11"/>
  <c r="S34" i="11"/>
  <c r="X35" i="11"/>
  <c r="W35" i="11"/>
  <c r="V35" i="11"/>
  <c r="U35" i="11"/>
  <c r="T35" i="11"/>
  <c r="S35" i="11"/>
  <c r="R35" i="11"/>
  <c r="X36" i="11"/>
  <c r="W36" i="11"/>
  <c r="V36" i="11"/>
  <c r="U36" i="11"/>
  <c r="T36" i="11"/>
  <c r="S36" i="11"/>
  <c r="R36" i="11"/>
  <c r="Q36" i="11"/>
  <c r="X37" i="11"/>
  <c r="W37" i="11"/>
  <c r="V37" i="11"/>
  <c r="U37" i="11"/>
  <c r="T37" i="11"/>
  <c r="S37" i="11"/>
  <c r="R37" i="11"/>
  <c r="Q37" i="11"/>
  <c r="P37" i="11"/>
  <c r="X38" i="11"/>
  <c r="W38" i="11"/>
  <c r="V38" i="11"/>
  <c r="U38" i="11"/>
  <c r="T38" i="11"/>
  <c r="S38" i="11"/>
  <c r="R38" i="11"/>
  <c r="Q38" i="11"/>
  <c r="P38" i="11"/>
  <c r="O38" i="11"/>
  <c r="X39" i="11"/>
  <c r="W39" i="11"/>
  <c r="V39" i="11"/>
  <c r="U39" i="11"/>
  <c r="T39" i="11"/>
  <c r="S39" i="11"/>
  <c r="R39" i="11"/>
  <c r="Q39" i="11"/>
  <c r="P39" i="11"/>
  <c r="O39" i="11"/>
  <c r="N39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J43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I44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H45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G46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F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E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D49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C50" i="11"/>
  <c r="C2" i="6" l="1"/>
  <c r="D2" i="6"/>
  <c r="E2" i="6"/>
  <c r="F2" i="6"/>
  <c r="G2" i="6"/>
  <c r="H2" i="6"/>
  <c r="I2" i="6"/>
  <c r="J2" i="6"/>
  <c r="K2" i="6"/>
  <c r="L2" i="6"/>
  <c r="N2" i="6"/>
  <c r="O2" i="6"/>
  <c r="P2" i="6"/>
  <c r="Q2" i="6"/>
  <c r="R2" i="6"/>
  <c r="S2" i="6"/>
  <c r="T2" i="6"/>
  <c r="U2" i="6"/>
  <c r="V2" i="6"/>
  <c r="W2" i="6"/>
  <c r="X2" i="6"/>
  <c r="C3" i="6"/>
  <c r="D3" i="6"/>
  <c r="E3" i="6"/>
  <c r="F3" i="6"/>
  <c r="G3" i="6"/>
  <c r="H3" i="6"/>
  <c r="I3" i="6"/>
  <c r="J3" i="6"/>
  <c r="K3" i="6"/>
  <c r="L3" i="6"/>
  <c r="N3" i="6"/>
  <c r="O3" i="6"/>
  <c r="P3" i="6"/>
  <c r="Q3" i="6"/>
  <c r="R3" i="6"/>
  <c r="S3" i="6"/>
  <c r="T3" i="6"/>
  <c r="U3" i="6"/>
  <c r="V3" i="6"/>
  <c r="W3" i="6"/>
  <c r="X3" i="6"/>
  <c r="C4" i="6"/>
  <c r="D4" i="6"/>
  <c r="E4" i="6"/>
  <c r="F4" i="6"/>
  <c r="G4" i="6"/>
  <c r="H4" i="6"/>
  <c r="I4" i="6"/>
  <c r="J4" i="6"/>
  <c r="K4" i="6"/>
  <c r="L4" i="6"/>
  <c r="N4" i="6"/>
  <c r="O4" i="6"/>
  <c r="P4" i="6"/>
  <c r="Q4" i="6"/>
  <c r="R4" i="6"/>
  <c r="S4" i="6"/>
  <c r="T4" i="6"/>
  <c r="U4" i="6"/>
  <c r="V4" i="6"/>
  <c r="W4" i="6"/>
  <c r="X4" i="6"/>
  <c r="C5" i="6"/>
  <c r="D5" i="6"/>
  <c r="E5" i="6"/>
  <c r="F5" i="6"/>
  <c r="G5" i="6"/>
  <c r="H5" i="6"/>
  <c r="I5" i="6"/>
  <c r="J5" i="6"/>
  <c r="K5" i="6"/>
  <c r="L5" i="6"/>
  <c r="N5" i="6"/>
  <c r="O5" i="6"/>
  <c r="P5" i="6"/>
  <c r="Q5" i="6"/>
  <c r="R5" i="6"/>
  <c r="S5" i="6"/>
  <c r="T5" i="6"/>
  <c r="U5" i="6"/>
  <c r="V5" i="6"/>
  <c r="W5" i="6"/>
  <c r="X5" i="6"/>
  <c r="C6" i="6"/>
  <c r="D6" i="6"/>
  <c r="E6" i="6"/>
  <c r="F6" i="6"/>
  <c r="G6" i="6"/>
  <c r="H6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C7" i="6"/>
  <c r="D7" i="6"/>
  <c r="E7" i="6"/>
  <c r="F7" i="6"/>
  <c r="G7" i="6"/>
  <c r="H7" i="6"/>
  <c r="I7" i="6"/>
  <c r="J7" i="6"/>
  <c r="K7" i="6"/>
  <c r="L7" i="6"/>
  <c r="N7" i="6"/>
  <c r="O7" i="6"/>
  <c r="P7" i="6"/>
  <c r="Q7" i="6"/>
  <c r="R7" i="6"/>
  <c r="S7" i="6"/>
  <c r="T7" i="6"/>
  <c r="U7" i="6"/>
  <c r="V7" i="6"/>
  <c r="W7" i="6"/>
  <c r="X7" i="6"/>
  <c r="C8" i="6"/>
  <c r="D8" i="6"/>
  <c r="E8" i="6"/>
  <c r="F8" i="6"/>
  <c r="G8" i="6"/>
  <c r="H8" i="6"/>
  <c r="I8" i="6"/>
  <c r="J8" i="6"/>
  <c r="K8" i="6"/>
  <c r="L8" i="6"/>
  <c r="N8" i="6"/>
  <c r="O8" i="6"/>
  <c r="P8" i="6"/>
  <c r="Q8" i="6"/>
  <c r="R8" i="6"/>
  <c r="S8" i="6"/>
  <c r="T8" i="6"/>
  <c r="U8" i="6"/>
  <c r="V8" i="6"/>
  <c r="W8" i="6"/>
  <c r="X8" i="6"/>
  <c r="C9" i="6"/>
  <c r="D9" i="6"/>
  <c r="E9" i="6"/>
  <c r="F9" i="6"/>
  <c r="G9" i="6"/>
  <c r="H9" i="6"/>
  <c r="I9" i="6"/>
  <c r="J9" i="6"/>
  <c r="K9" i="6"/>
  <c r="L9" i="6"/>
  <c r="N9" i="6"/>
  <c r="O9" i="6"/>
  <c r="P9" i="6"/>
  <c r="Q9" i="6"/>
  <c r="R9" i="6"/>
  <c r="S9" i="6"/>
  <c r="T9" i="6"/>
  <c r="U9" i="6"/>
  <c r="V9" i="6"/>
  <c r="W9" i="6"/>
  <c r="X9" i="6"/>
  <c r="C10" i="6"/>
  <c r="D10" i="6"/>
  <c r="E10" i="6"/>
  <c r="F10" i="6"/>
  <c r="G10" i="6"/>
  <c r="H10" i="6"/>
  <c r="I10" i="6"/>
  <c r="J10" i="6"/>
  <c r="K10" i="6"/>
  <c r="L10" i="6"/>
  <c r="N10" i="6"/>
  <c r="O10" i="6"/>
  <c r="P10" i="6"/>
  <c r="Q10" i="6"/>
  <c r="R10" i="6"/>
  <c r="S10" i="6"/>
  <c r="T10" i="6"/>
  <c r="U10" i="6"/>
  <c r="V10" i="6"/>
  <c r="W10" i="6"/>
  <c r="X10" i="6"/>
  <c r="C11" i="6"/>
  <c r="D11" i="6"/>
  <c r="E11" i="6"/>
  <c r="F11" i="6"/>
  <c r="G11" i="6"/>
  <c r="H11" i="6"/>
  <c r="I11" i="6"/>
  <c r="J11" i="6"/>
  <c r="K11" i="6"/>
  <c r="L11" i="6"/>
  <c r="N11" i="6"/>
  <c r="O11" i="6"/>
  <c r="P11" i="6"/>
  <c r="Q11" i="6"/>
  <c r="R11" i="6"/>
  <c r="S11" i="6"/>
  <c r="T11" i="6"/>
  <c r="U11" i="6"/>
  <c r="V11" i="6"/>
  <c r="W11" i="6"/>
  <c r="X11" i="6"/>
  <c r="C12" i="6"/>
  <c r="D12" i="6"/>
  <c r="E12" i="6"/>
  <c r="F12" i="6"/>
  <c r="G12" i="6"/>
  <c r="H12" i="6"/>
  <c r="I12" i="6"/>
  <c r="J12" i="6"/>
  <c r="K12" i="6"/>
  <c r="L12" i="6"/>
  <c r="N12" i="6"/>
  <c r="O12" i="6"/>
  <c r="P12" i="6"/>
  <c r="Q12" i="6"/>
  <c r="R12" i="6"/>
  <c r="S12" i="6"/>
  <c r="T12" i="6"/>
  <c r="U12" i="6"/>
  <c r="V12" i="6"/>
  <c r="W12" i="6"/>
  <c r="X12" i="6"/>
  <c r="C13" i="6"/>
  <c r="D13" i="6"/>
  <c r="E13" i="6"/>
  <c r="F13" i="6"/>
  <c r="G13" i="6"/>
  <c r="H13" i="6"/>
  <c r="I13" i="6"/>
  <c r="J13" i="6"/>
  <c r="K13" i="6"/>
  <c r="L13" i="6"/>
  <c r="N13" i="6"/>
  <c r="O13" i="6"/>
  <c r="P13" i="6"/>
  <c r="Q13" i="6"/>
  <c r="R13" i="6"/>
  <c r="S13" i="6"/>
  <c r="T13" i="6"/>
  <c r="U13" i="6"/>
  <c r="V13" i="6"/>
  <c r="W13" i="6"/>
  <c r="X13" i="6"/>
  <c r="C14" i="6"/>
  <c r="D14" i="6"/>
  <c r="E14" i="6"/>
  <c r="F14" i="6"/>
  <c r="G14" i="6"/>
  <c r="H14" i="6"/>
  <c r="I14" i="6"/>
  <c r="J14" i="6"/>
  <c r="K14" i="6"/>
  <c r="L14" i="6"/>
  <c r="N14" i="6"/>
  <c r="O14" i="6"/>
  <c r="P14" i="6"/>
  <c r="Q14" i="6"/>
  <c r="R14" i="6"/>
  <c r="S14" i="6"/>
  <c r="T14" i="6"/>
  <c r="U14" i="6"/>
  <c r="V14" i="6"/>
  <c r="W14" i="6"/>
  <c r="X14" i="6"/>
  <c r="C15" i="6"/>
  <c r="D15" i="6"/>
  <c r="E15" i="6"/>
  <c r="F15" i="6"/>
  <c r="G15" i="6"/>
  <c r="H15" i="6"/>
  <c r="I15" i="6"/>
  <c r="J15" i="6"/>
  <c r="K15" i="6"/>
  <c r="L15" i="6"/>
  <c r="N15" i="6"/>
  <c r="O15" i="6"/>
  <c r="P15" i="6"/>
  <c r="Q15" i="6"/>
  <c r="R15" i="6"/>
  <c r="S15" i="6"/>
  <c r="T15" i="6"/>
  <c r="U15" i="6"/>
  <c r="V15" i="6"/>
  <c r="W15" i="6"/>
  <c r="X15" i="6"/>
  <c r="C16" i="6"/>
  <c r="D16" i="6"/>
  <c r="E16" i="6"/>
  <c r="F16" i="6"/>
  <c r="G16" i="6"/>
  <c r="H16" i="6"/>
  <c r="I16" i="6"/>
  <c r="J16" i="6"/>
  <c r="K16" i="6"/>
  <c r="L16" i="6"/>
  <c r="N16" i="6"/>
  <c r="O16" i="6"/>
  <c r="P16" i="6"/>
  <c r="Q16" i="6"/>
  <c r="R16" i="6"/>
  <c r="S16" i="6"/>
  <c r="T16" i="6"/>
  <c r="U16" i="6"/>
  <c r="V16" i="6"/>
  <c r="W16" i="6"/>
  <c r="X16" i="6"/>
  <c r="C17" i="6"/>
  <c r="D17" i="6"/>
  <c r="E17" i="6"/>
  <c r="F17" i="6"/>
  <c r="G17" i="6"/>
  <c r="H17" i="6"/>
  <c r="I17" i="6"/>
  <c r="J17" i="6"/>
  <c r="K17" i="6"/>
  <c r="L17" i="6"/>
  <c r="N17" i="6"/>
  <c r="O17" i="6"/>
  <c r="P17" i="6"/>
  <c r="Q17" i="6"/>
  <c r="R17" i="6"/>
  <c r="S17" i="6"/>
  <c r="T17" i="6"/>
  <c r="U17" i="6"/>
  <c r="V17" i="6"/>
  <c r="W17" i="6"/>
  <c r="X17" i="6"/>
  <c r="C18" i="6"/>
  <c r="D18" i="6"/>
  <c r="E18" i="6"/>
  <c r="F18" i="6"/>
  <c r="G18" i="6"/>
  <c r="H18" i="6"/>
  <c r="I18" i="6"/>
  <c r="J18" i="6"/>
  <c r="K18" i="6"/>
  <c r="L18" i="6"/>
  <c r="N18" i="6"/>
  <c r="O18" i="6"/>
  <c r="P18" i="6"/>
  <c r="Q18" i="6"/>
  <c r="R18" i="6"/>
  <c r="S18" i="6"/>
  <c r="T18" i="6"/>
  <c r="U18" i="6"/>
  <c r="V18" i="6"/>
  <c r="W18" i="6"/>
  <c r="X18" i="6"/>
  <c r="C19" i="6"/>
  <c r="D19" i="6"/>
  <c r="E19" i="6"/>
  <c r="F19" i="6"/>
  <c r="G19" i="6"/>
  <c r="H19" i="6"/>
  <c r="I19" i="6"/>
  <c r="J19" i="6"/>
  <c r="K19" i="6"/>
  <c r="L19" i="6"/>
  <c r="N19" i="6"/>
  <c r="O19" i="6"/>
  <c r="P19" i="6"/>
  <c r="Q19" i="6"/>
  <c r="R19" i="6"/>
  <c r="S19" i="6"/>
  <c r="T19" i="6"/>
  <c r="U19" i="6"/>
  <c r="V19" i="6"/>
  <c r="W19" i="6"/>
  <c r="X19" i="6"/>
  <c r="C21" i="6"/>
  <c r="D21" i="6"/>
  <c r="E21" i="6"/>
  <c r="F21" i="6"/>
  <c r="G21" i="6"/>
  <c r="H21" i="6"/>
  <c r="I21" i="6"/>
  <c r="J21" i="6"/>
  <c r="K21" i="6"/>
  <c r="L21" i="6"/>
  <c r="N21" i="6"/>
  <c r="O21" i="6"/>
  <c r="P21" i="6"/>
  <c r="Q21" i="6"/>
  <c r="R21" i="6"/>
  <c r="S21" i="6"/>
  <c r="T21" i="6"/>
  <c r="U21" i="6"/>
  <c r="V21" i="6"/>
  <c r="W21" i="6"/>
  <c r="X21" i="6"/>
  <c r="C22" i="6"/>
  <c r="D22" i="6"/>
  <c r="E22" i="6"/>
  <c r="F22" i="6"/>
  <c r="G22" i="6"/>
  <c r="H22" i="6"/>
  <c r="I22" i="6"/>
  <c r="J22" i="6"/>
  <c r="K22" i="6"/>
  <c r="L22" i="6"/>
  <c r="N22" i="6"/>
  <c r="O22" i="6"/>
  <c r="P22" i="6"/>
  <c r="Q22" i="6"/>
  <c r="R22" i="6"/>
  <c r="S22" i="6"/>
  <c r="T22" i="6"/>
  <c r="U22" i="6"/>
  <c r="V22" i="6"/>
  <c r="W22" i="6"/>
  <c r="X22" i="6"/>
  <c r="C23" i="6"/>
  <c r="D23" i="6"/>
  <c r="E23" i="6"/>
  <c r="F23" i="6"/>
  <c r="G23" i="6"/>
  <c r="H23" i="6"/>
  <c r="I23" i="6"/>
  <c r="J23" i="6"/>
  <c r="K23" i="6"/>
  <c r="L23" i="6"/>
  <c r="N23" i="6"/>
  <c r="O23" i="6"/>
  <c r="P23" i="6"/>
  <c r="Q23" i="6"/>
  <c r="R23" i="6"/>
  <c r="S23" i="6"/>
  <c r="T23" i="6"/>
  <c r="U23" i="6"/>
  <c r="V23" i="6"/>
  <c r="W23" i="6"/>
  <c r="X23" i="6"/>
  <c r="C20" i="6"/>
  <c r="D20" i="6"/>
  <c r="E20" i="6"/>
  <c r="F20" i="6"/>
  <c r="G20" i="6"/>
  <c r="H20" i="6"/>
  <c r="I20" i="6"/>
  <c r="J20" i="6"/>
  <c r="K20" i="6"/>
  <c r="L20" i="6"/>
  <c r="N20" i="6"/>
  <c r="O20" i="6"/>
  <c r="P20" i="6"/>
  <c r="Q20" i="6"/>
  <c r="R20" i="6"/>
  <c r="S20" i="6"/>
  <c r="T20" i="6"/>
  <c r="U20" i="6"/>
  <c r="V20" i="6"/>
  <c r="W20" i="6"/>
  <c r="X20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1" i="6"/>
  <c r="B22" i="6"/>
  <c r="B23" i="6"/>
  <c r="B20" i="6"/>
  <c r="B2" i="6"/>
  <c r="C1" i="7" l="1"/>
  <c r="D1" i="7" l="1"/>
  <c r="E1" i="7" l="1"/>
  <c r="F1" i="7" s="1"/>
  <c r="G1" i="7" l="1"/>
  <c r="H1" i="7" l="1"/>
  <c r="I1" i="7" l="1"/>
  <c r="J1" i="7" l="1"/>
  <c r="K1" i="7" l="1"/>
  <c r="L1" i="7" l="1"/>
  <c r="M1" i="7" l="1"/>
  <c r="N1" i="7" l="1"/>
  <c r="O1" i="7" l="1"/>
  <c r="P1" i="7" l="1"/>
  <c r="Q1" i="7" l="1"/>
  <c r="R1" i="7" l="1"/>
  <c r="S1" i="7" l="1"/>
  <c r="T1" i="7" l="1"/>
  <c r="U1" i="7" l="1"/>
  <c r="V1" i="7" l="1"/>
  <c r="W1" i="7" l="1"/>
</calcChain>
</file>

<file path=xl/sharedStrings.xml><?xml version="1.0" encoding="utf-8"?>
<sst xmlns="http://schemas.openxmlformats.org/spreadsheetml/2006/main" count="4579" uniqueCount="102">
  <si>
    <t>Category-Level</t>
  </si>
  <si>
    <t>Highlight Cells Greater Than:</t>
  </si>
  <si>
    <t>Correlations</t>
  </si>
  <si>
    <t xml:space="preserve"> </t>
  </si>
  <si>
    <t>Endorsement Level</t>
  </si>
  <si>
    <t>ENDORSEMENTS</t>
  </si>
  <si>
    <t>Base size (filtered on Awareness)</t>
  </si>
  <si>
    <t>Factor Solution Output (Run)</t>
  </si>
  <si>
    <t>GOOD_VALUE</t>
  </si>
  <si>
    <t>POWER</t>
  </si>
  <si>
    <t>MEANINGFUL</t>
  </si>
  <si>
    <t>DIFFERENT</t>
  </si>
  <si>
    <t>HIGH_QUALITY</t>
  </si>
  <si>
    <t>power</t>
  </si>
  <si>
    <t>meaningful</t>
  </si>
  <si>
    <t>different</t>
  </si>
  <si>
    <t>good value</t>
  </si>
  <si>
    <t>high quality</t>
  </si>
  <si>
    <t>N</t>
  </si>
  <si>
    <t>Y</t>
  </si>
  <si>
    <t>NFR</t>
  </si>
  <si>
    <t>CLEAN_TOILETS</t>
  </si>
  <si>
    <t>COMFORTABLE_SEATING</t>
  </si>
  <si>
    <t>CONVENIENCE</t>
  </si>
  <si>
    <t>COVID-19_PRECAUTIONS</t>
  </si>
  <si>
    <t>DIGITAL_SCREENS</t>
  </si>
  <si>
    <t>EASY_PAYMENT_METHOD</t>
  </si>
  <si>
    <t>EASY_TO_FIND</t>
  </si>
  <si>
    <t>ENVIRONMENTAL_VALUES</t>
  </si>
  <si>
    <t>HIGH_QUALITY_FUEL</t>
  </si>
  <si>
    <t>HIGH_QUALITY_SHOP</t>
  </si>
  <si>
    <t>MAKES_JOURNEYS_BETTER</t>
  </si>
  <si>
    <t>ON_SITE_SERVICES</t>
  </si>
  <si>
    <t>PREFERENCE</t>
  </si>
  <si>
    <t>PRICE_T2B</t>
  </si>
  <si>
    <t>PROMOTIONS_AND_REWARDS</t>
  </si>
  <si>
    <t>QUALITY_FOOD</t>
  </si>
  <si>
    <t>QUALITY_SNACKS_AND_DRINKS</t>
  </si>
  <si>
    <t>SAFE_CLEAN_STATIONS</t>
  </si>
  <si>
    <t>SHOP_RANGE</t>
  </si>
  <si>
    <t>SOCIAL_VALUES</t>
  </si>
  <si>
    <t>TRUSTED_LEADER</t>
  </si>
  <si>
    <t>USEFUL_ONLINE_PRESENCE</t>
  </si>
  <si>
    <t>WELCOMING</t>
  </si>
  <si>
    <t>REWARDS_AND_PROMOTIONS</t>
  </si>
  <si>
    <t>?</t>
  </si>
  <si>
    <t>N?</t>
  </si>
  <si>
    <t>Y?</t>
  </si>
  <si>
    <t>Fuel</t>
  </si>
  <si>
    <t>ALTERNATIVE_FUELS</t>
  </si>
  <si>
    <t>EASE_OF_USE</t>
  </si>
  <si>
    <t>FUEL_SUPERIORITY</t>
  </si>
  <si>
    <t>RANGE_OF_FUELS</t>
  </si>
  <si>
    <t>HIGH_QUALITY_FUELS</t>
  </si>
  <si>
    <t>Useful Online Presence</t>
  </si>
  <si>
    <t>Digital Screens</t>
  </si>
  <si>
    <t>COVID-19 Precautions</t>
  </si>
  <si>
    <t>PRICE</t>
  </si>
  <si>
    <t>Easy Navigation</t>
  </si>
  <si>
    <t>Respect as equals</t>
  </si>
  <si>
    <t>AFFINITY_TB</t>
  </si>
  <si>
    <t>AFFINITY_T2B</t>
  </si>
  <si>
    <t>UNIQUE_TB</t>
  </si>
  <si>
    <t>UNIQUE_T2B</t>
  </si>
  <si>
    <t>MEETS_NEEDS_TB</t>
  </si>
  <si>
    <t>MEETS_NEEDS_T2B</t>
  </si>
  <si>
    <t>DYNAMIC_TB</t>
  </si>
  <si>
    <t>DYNAMIC_T2B</t>
  </si>
  <si>
    <t>Coca-Cola/Coca-Cola Classic</t>
  </si>
  <si>
    <t>Fanta</t>
  </si>
  <si>
    <t>Sprite</t>
  </si>
  <si>
    <t>Final DepVar: Pricing Power</t>
  </si>
  <si>
    <t>Brand: Sprite</t>
  </si>
  <si>
    <t>Brand: Fanta</t>
  </si>
  <si>
    <t>Brand: Coca-Cola/Coca-Cola Classic</t>
  </si>
  <si>
    <t>weighted</t>
  </si>
  <si>
    <t>Gives me an energy boost</t>
  </si>
  <si>
    <t>Has a unique taste</t>
  </si>
  <si>
    <t>Has a refreshing taste</t>
  </si>
  <si>
    <t>Has a flavor I enjoy</t>
  </si>
  <si>
    <t>Has the right amount of calories</t>
  </si>
  <si>
    <t>Is available in convenient packaging</t>
  </si>
  <si>
    <t>Offers quality I can trust</t>
  </si>
  <si>
    <t>Is a youthful brand</t>
  </si>
  <si>
    <t>Is a brand for everyone</t>
  </si>
  <si>
    <t>Encourages me to try new things</t>
  </si>
  <si>
    <t>Makes moments special</t>
  </si>
  <si>
    <t>Gives me confidence to be myself</t>
  </si>
  <si>
    <t>Brings me happiness</t>
  </si>
  <si>
    <t>Helps keep me going</t>
  </si>
  <si>
    <t>Shares my values</t>
  </si>
  <si>
    <t>Cares about the environment</t>
  </si>
  <si>
    <t>Time Period: 12th week of 2022 to  51th week of 2022</t>
  </si>
  <si>
    <t>Sample: 1540</t>
  </si>
  <si>
    <t>Sample: 1524</t>
  </si>
  <si>
    <t>Sample: 1503</t>
  </si>
  <si>
    <t>Pricing_Power</t>
  </si>
  <si>
    <t>Meaningful</t>
  </si>
  <si>
    <t>Different</t>
  </si>
  <si>
    <t>Salient</t>
  </si>
  <si>
    <t>Sample: 4568</t>
  </si>
  <si>
    <t>Client: Coca-Cola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</si>
</sst>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sz val="10"/>
      <name val="Verdana"/>
      <family val="2"/>
    </font>
    <font>
      <b/>
      <u/>
      <sz val="10"/>
      <name val="Verdana"/>
      <family val="2"/>
    </font>
    <font>
      <sz val="10"/>
      <color theme="0" tint="-0.14999847407452621"/>
      <name val="Verdana"/>
      <family val="2"/>
    </font>
    <font>
      <b/>
      <sz val="10"/>
      <color theme="3" tint="-0.249977111117893"/>
      <name val="Verdana"/>
      <family val="2"/>
      <charset val="238"/>
    </font>
    <font>
      <b/>
      <sz val="10"/>
      <name val="Verdana"/>
      <family val="2"/>
      <charset val="238"/>
    </font>
    <font>
      <b/>
      <sz val="10"/>
      <color rgb="FF002060"/>
      <name val="Verdana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DB6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5DD5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left" vertic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0" xfId="0" applyFill="1"/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5" borderId="0" xfId="0" applyFill="1" applyAlignment="1">
      <alignment horizontal="left" vertical="center"/>
    </xf>
    <xf numFmtId="0" fontId="0" fillId="6" borderId="0" xfId="0" applyFill="1" applyAlignment="1">
      <alignment wrapText="1"/>
    </xf>
    <xf numFmtId="0" fontId="5" fillId="0" borderId="0" xfId="1" applyFont="1"/>
    <xf numFmtId="0" fontId="6" fillId="0" borderId="0" xfId="1" applyFont="1"/>
    <xf numFmtId="0" fontId="4" fillId="0" borderId="0" xfId="1"/>
    <xf numFmtId="0" fontId="4" fillId="0" borderId="0" xfId="1" applyAlignment="1">
      <alignment horizontal="right"/>
    </xf>
    <xf numFmtId="0" fontId="4" fillId="2" borderId="0" xfId="1" applyFill="1"/>
    <xf numFmtId="0" fontId="7" fillId="0" borderId="0" xfId="1" applyFont="1" applyAlignment="1">
      <alignment horizontal="center"/>
    </xf>
    <xf numFmtId="0" fontId="4" fillId="0" borderId="0" xfId="1" applyAlignment="1">
      <alignment horizontal="center" vertical="center" wrapText="1"/>
    </xf>
    <xf numFmtId="9" fontId="0" fillId="0" borderId="0" xfId="2" applyFont="1" applyAlignment="1">
      <alignment horizontal="center"/>
    </xf>
    <xf numFmtId="2" fontId="4" fillId="0" borderId="0" xfId="1" applyNumberFormat="1" applyAlignment="1">
      <alignment horizontal="center"/>
    </xf>
    <xf numFmtId="1" fontId="0" fillId="0" borderId="0" xfId="2" applyNumberFormat="1" applyFont="1" applyAlignment="1">
      <alignment horizontal="center"/>
    </xf>
    <xf numFmtId="1" fontId="4" fillId="0" borderId="0" xfId="2" applyNumberFormat="1" applyFont="1" applyAlignment="1">
      <alignment horizontal="center"/>
    </xf>
    <xf numFmtId="9" fontId="4" fillId="0" borderId="0" xfId="2" applyFont="1" applyAlignment="1">
      <alignment horizontal="center"/>
    </xf>
    <xf numFmtId="0" fontId="8" fillId="6" borderId="0" xfId="1" applyFont="1" applyFill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8" borderId="0" xfId="1" applyFill="1"/>
    <xf numFmtId="9" fontId="0" fillId="0" borderId="0" xfId="2" applyFont="1"/>
    <xf numFmtId="1" fontId="4" fillId="0" borderId="0" xfId="1" applyNumberFormat="1"/>
    <xf numFmtId="0" fontId="4" fillId="9" borderId="0" xfId="1" applyFill="1"/>
    <xf numFmtId="0" fontId="4" fillId="10" borderId="0" xfId="1" applyFill="1"/>
    <xf numFmtId="2" fontId="0" fillId="0" borderId="0" xfId="2" applyNumberFormat="1" applyFont="1"/>
    <xf numFmtId="2" fontId="4" fillId="0" borderId="0" xfId="1" applyNumberFormat="1"/>
    <xf numFmtId="0" fontId="4" fillId="0" borderId="0" xfId="1" applyAlignment="1">
      <alignment wrapText="1"/>
    </xf>
    <xf numFmtId="2" fontId="4" fillId="0" borderId="0" xfId="1" applyNumberFormat="1" applyAlignment="1">
      <alignment vertical="center"/>
    </xf>
    <xf numFmtId="0" fontId="4" fillId="0" borderId="0" xfId="1" applyAlignment="1">
      <alignment vertical="center" wrapText="1"/>
    </xf>
    <xf numFmtId="0" fontId="10" fillId="0" borderId="0" xfId="1" applyFont="1" applyAlignment="1">
      <alignment horizontal="center" vertical="center"/>
    </xf>
    <xf numFmtId="1" fontId="8" fillId="0" borderId="0" xfId="1" applyNumberFormat="1" applyFont="1" applyAlignment="1">
      <alignment horizontal="center" vertical="center"/>
    </xf>
    <xf numFmtId="2" fontId="0" fillId="0" borderId="0" xfId="2" applyNumberFormat="1" applyFont="1" applyAlignment="1">
      <alignment horizontal="center"/>
    </xf>
    <xf numFmtId="1" fontId="10" fillId="0" borderId="0" xfId="1" applyNumberFormat="1" applyFont="1" applyAlignment="1">
      <alignment horizontal="center" vertical="center"/>
    </xf>
    <xf numFmtId="164" fontId="4" fillId="0" borderId="0" xfId="1" applyNumberFormat="1" applyAlignment="1">
      <alignment vertical="center"/>
    </xf>
  </cellXfs>
  <cellStyles count="3">
    <cellStyle name="Normal" xfId="0" builtinId="0"/>
    <cellStyle name="Normal 2" xfId="1" xr:uid="{2ADE257A-01F5-472E-99A1-C4A37CA4981D}"/>
    <cellStyle name="Percent 2" xfId="2" xr:uid="{FDC27672-6B51-46A8-88C9-6655DD3670F0}"/>
  </cellStyles>
  <dxfs count="42"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Correspondent Axis 1 &amp; 2 (100%)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0.15152097638179374"/>
                  <c:y val="-1.463338594658336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Gives me an energy boost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266-47C2-8F67-849552F436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Has a unique taste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266-47C2-8F67-849552F436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Has a refreshing 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266-47C2-8F67-849552F43604}"/>
                </c:ext>
              </c:extLst>
            </c:dLbl>
            <c:dLbl>
              <c:idx val="3"/>
              <c:layout>
                <c:manualLayout>
                  <c:x val="-0.12281058964662667"/>
                  <c:y val="-2.09048370665476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Has a flavor I enjoy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266-47C2-8F67-849552F436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Has the right amount of calories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266-47C2-8F67-849552F43604}"/>
                </c:ext>
              </c:extLst>
            </c:dLbl>
            <c:dLbl>
              <c:idx val="5"/>
              <c:layout>
                <c:manualLayout>
                  <c:x val="-0.12144602753944213"/>
                  <c:y val="2.090483706654767E-3"/>
                </c:manualLayout>
              </c:layout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r>
                      <a:rPr lang="en-US"/>
                      <a:t>Is available in convenient packaging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5266-47C2-8F67-849552F43604}"/>
                </c:ext>
              </c:extLst>
            </c:dLbl>
            <c:dLbl>
              <c:idx val="6"/>
              <c:layout>
                <c:manualLayout>
                  <c:x val="-0.15283095600469118"/>
                  <c:y val="-6.27145111996437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Offers quality I can trust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266-47C2-8F67-849552F436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Is a youthful brand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266-47C2-8F67-849552F436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Is a brand for everyone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266-47C2-8F67-849552F43604}"/>
                </c:ext>
              </c:extLst>
            </c:dLbl>
            <c:dLbl>
              <c:idx val="9"/>
              <c:layout>
                <c:manualLayout>
                  <c:x val="-0.19524498456271963"/>
                  <c:y val="1.90286690910790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Encourages me to try new things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266-47C2-8F67-849552F436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Makes moments special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266-47C2-8F67-849552F436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Gives me confidence to be myself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266-47C2-8F67-849552F436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Brings me happiness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266-47C2-8F67-849552F43604}"/>
                </c:ext>
              </c:extLst>
            </c:dLbl>
            <c:dLbl>
              <c:idx val="13"/>
              <c:layout>
                <c:manualLayout>
                  <c:x val="-1.4184569381267786E-2"/>
                  <c:y val="-1.67238696532381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Helps keep me going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266-47C2-8F67-849552F436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Shares my values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266-47C2-8F67-849552F43604}"/>
                </c:ext>
              </c:extLst>
            </c:dLbl>
            <c:dLbl>
              <c:idx val="15"/>
              <c:layout>
                <c:manualLayout>
                  <c:x val="-5.7311608501760154E-3"/>
                  <c:y val="-3.966651682123352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Cares about the environment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266-47C2-8F67-849552F4360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6"/>
              <c:pt idx="0">
                <c:v>-0.17399999999999999</c:v>
              </c:pt>
              <c:pt idx="1">
                <c:v>-8.7400000000000005E-2</c:v>
              </c:pt>
              <c:pt idx="2">
                <c:v>0.1221</c:v>
              </c:pt>
              <c:pt idx="3">
                <c:v>9.3100000000000002E-2</c:v>
              </c:pt>
              <c:pt idx="4">
                <c:v>2.4799999999999999E-2</c:v>
              </c:pt>
              <c:pt idx="5">
                <c:v>0.15240000000000001</c:v>
              </c:pt>
              <c:pt idx="6">
                <c:v>0.1152</c:v>
              </c:pt>
              <c:pt idx="7">
                <c:v>-1.66E-2</c:v>
              </c:pt>
              <c:pt idx="8">
                <c:v>4.9299999999999997E-2</c:v>
              </c:pt>
              <c:pt idx="9">
                <c:v>-2.18E-2</c:v>
              </c:pt>
              <c:pt idx="10">
                <c:v>-0.1123</c:v>
              </c:pt>
              <c:pt idx="11">
                <c:v>-6.5100000000000005E-2</c:v>
              </c:pt>
              <c:pt idx="12">
                <c:v>-3.3000000000000002E-2</c:v>
              </c:pt>
              <c:pt idx="13">
                <c:v>-0.22140000000000001</c:v>
              </c:pt>
              <c:pt idx="14">
                <c:v>-4.4200000000000003E-2</c:v>
              </c:pt>
              <c:pt idx="15">
                <c:v>-2.63E-2</c:v>
              </c:pt>
            </c:numLit>
          </c:xVal>
          <c:yVal>
            <c:numLit>
              <c:formatCode>General</c:formatCode>
              <c:ptCount val="16"/>
              <c:pt idx="0">
                <c:v>3.4700000000000002E-2</c:v>
              </c:pt>
              <c:pt idx="1">
                <c:v>2.8199999999999999E-2</c:v>
              </c:pt>
              <c:pt idx="2">
                <c:v>0.1179</c:v>
              </c:pt>
              <c:pt idx="3">
                <c:v>-1.7999999999999999E-2</c:v>
              </c:pt>
              <c:pt idx="4">
                <c:v>2.2800000000000001E-2</c:v>
              </c:pt>
              <c:pt idx="5">
                <c:v>-1.2500000000000001E-2</c:v>
              </c:pt>
              <c:pt idx="6">
                <c:v>-9.5999999999999992E-3</c:v>
              </c:pt>
              <c:pt idx="7">
                <c:v>-1.15E-2</c:v>
              </c:pt>
              <c:pt idx="8">
                <c:v>-3.4200000000000001E-2</c:v>
              </c:pt>
              <c:pt idx="9">
                <c:v>-3.7600000000000001E-2</c:v>
              </c:pt>
              <c:pt idx="10">
                <c:v>-3.3300000000000003E-2</c:v>
              </c:pt>
              <c:pt idx="11">
                <c:v>-2.4400000000000002E-2</c:v>
              </c:pt>
              <c:pt idx="12">
                <c:v>-4.1000000000000003E-3</c:v>
              </c:pt>
              <c:pt idx="13">
                <c:v>4.9799999999999997E-2</c:v>
              </c:pt>
              <c:pt idx="14">
                <c:v>-3.6600000000000001E-2</c:v>
              </c:pt>
              <c:pt idx="15">
                <c:v>-3.0800000000000001E-2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5266-47C2-8F67-849552F4360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Coca-Cola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266-47C2-8F67-849552F436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Fanta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266-47C2-8F67-849552F436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Sprite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266-47C2-8F67-849552F4360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3"/>
              <c:pt idx="0">
                <c:v>-0.10299999999999999</c:v>
              </c:pt>
              <c:pt idx="1">
                <c:v>8.5000000000000006E-2</c:v>
              </c:pt>
              <c:pt idx="2">
                <c:v>0.129</c:v>
              </c:pt>
            </c:numLit>
          </c:xVal>
          <c:yVal>
            <c:numLit>
              <c:formatCode>General</c:formatCode>
              <c:ptCount val="3"/>
              <c:pt idx="0">
                <c:v>6.0000000000000001E-3</c:v>
              </c:pt>
              <c:pt idx="1">
                <c:v>-5.8999999999999997E-2</c:v>
              </c:pt>
              <c:pt idx="2">
                <c:v>5.7000000000000002E-2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266-47C2-8F67-849552F43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044960"/>
        <c:axId val="1910109872"/>
      </c:scatterChart>
      <c:valAx>
        <c:axId val="1911044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Axis 1 (87%)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910109872"/>
        <c:crosses val="autoZero"/>
        <c:crossBetween val="midCat"/>
      </c:valAx>
      <c:valAx>
        <c:axId val="1910109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Axis 2 (13%)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9110449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82550</xdr:rowOff>
        </xdr:from>
        <xdr:to>
          <xdr:col>2</xdr:col>
          <xdr:colOff>6350</xdr:colOff>
          <xdr:row>3</xdr:row>
          <xdr:rowOff>107950</xdr:rowOff>
        </xdr:to>
        <xdr:sp macro="" textlink="">
          <xdr:nvSpPr>
            <xdr:cNvPr id="30721" name="cmdEditLabels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82550</xdr:rowOff>
        </xdr:from>
        <xdr:to>
          <xdr:col>2</xdr:col>
          <xdr:colOff>6350</xdr:colOff>
          <xdr:row>3</xdr:row>
          <xdr:rowOff>107950</xdr:rowOff>
        </xdr:to>
        <xdr:sp macro="" textlink="">
          <xdr:nvSpPr>
            <xdr:cNvPr id="51201" name="cmdEditLabels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1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82550</xdr:rowOff>
        </xdr:from>
        <xdr:to>
          <xdr:col>2</xdr:col>
          <xdr:colOff>6350</xdr:colOff>
          <xdr:row>3</xdr:row>
          <xdr:rowOff>107950</xdr:rowOff>
        </xdr:to>
        <xdr:sp macro="" textlink="">
          <xdr:nvSpPr>
            <xdr:cNvPr id="52225" name="cmdEditLabels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2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1142999"/>
    <xdr:ext cx="9307015" cy="607514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sp macro="" textlink="">
      <xdr:nvSpPr>
        <xdr:cNvPr id="2" name="cmdLists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sp macro="" textlink="">
      <xdr:nvSpPr>
        <xdr:cNvPr id="3" name="cmdLists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sp macro="" textlink="">
      <xdr:nvSpPr>
        <xdr:cNvPr id="4" name="cmdLists" hidden="1">
          <a:extLst>
            <a:ext uri="{63B3BB69-23CF-44E3-9099-C40C66FF867C}">
              <a14:compatExt xmlns:a14="http://schemas.microsoft.com/office/drawing/2010/main" spid="_x0000_s9219"/>
            </a:ex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sp macro="" textlink="">
      <xdr:nvSpPr>
        <xdr:cNvPr id="5" name="cmdLists" hidden="1">
          <a:extLst>
            <a:ext uri="{63B3BB69-23CF-44E3-9099-C40C66FF867C}">
              <a14:compatExt xmlns:a14="http://schemas.microsoft.com/office/drawing/2010/main" spid="_x0000_s9220"/>
            </a:ex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pic>
      <xdr:nvPicPr>
        <xdr:cNvPr id="9217" name="cmdLists">
          <a:extLst>
            <a:ext uri="{FF2B5EF4-FFF2-40B4-BE49-F238E27FC236}">
              <a16:creationId xmlns:a16="http://schemas.microsoft.com/office/drawing/2014/main" id="{00000000-0008-0000-0D00-0000012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10175"/>
          <a:ext cx="15144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pic>
      <xdr:nvPicPr>
        <xdr:cNvPr id="9218" name="Picture 2">
          <a:extLst>
            <a:ext uri="{FF2B5EF4-FFF2-40B4-BE49-F238E27FC236}">
              <a16:creationId xmlns:a16="http://schemas.microsoft.com/office/drawing/2014/main" id="{00000000-0008-0000-0D00-0000022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10175"/>
          <a:ext cx="15144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pic>
      <xdr:nvPicPr>
        <xdr:cNvPr id="9219" name="Picture 3">
          <a:extLst>
            <a:ext uri="{FF2B5EF4-FFF2-40B4-BE49-F238E27FC236}">
              <a16:creationId xmlns:a16="http://schemas.microsoft.com/office/drawing/2014/main" id="{00000000-0008-0000-0D00-0000032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10175"/>
          <a:ext cx="15144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24</xdr:row>
      <xdr:rowOff>66675</xdr:rowOff>
    </xdr:from>
    <xdr:to>
      <xdr:col>0</xdr:col>
      <xdr:colOff>1533525</xdr:colOff>
      <xdr:row>25</xdr:row>
      <xdr:rowOff>152400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D00-0000042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210175"/>
          <a:ext cx="15144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8DD5A-128B-4280-9189-9013BEAA4CC7}">
  <sheetPr codeName="Sheet12">
    <tabColor rgb="FF0070C0"/>
  </sheetPr>
  <dimension ref="A1:FK152"/>
  <sheetViews>
    <sheetView zoomScale="60" zoomScaleNormal="60" workbookViewId="0">
      <pane xSplit="2" ySplit="10" topLeftCell="C16" activePane="bottomRight" state="frozen"/>
      <selection pane="topRight" activeCell="B10" sqref="B10"/>
      <selection pane="bottomLeft" activeCell="B10" sqref="B10"/>
      <selection pane="bottomRight"/>
    </sheetView>
  </sheetViews>
  <sheetFormatPr defaultColWidth="10.36328125" defaultRowHeight="13.5" x14ac:dyDescent="0.3"/>
  <cols>
    <col min="1" max="1" width="50" style="28" customWidth="1"/>
    <col min="2" max="2" width="13.08984375" style="28" customWidth="1"/>
    <col min="3" max="16384" width="10.36328125" style="28"/>
  </cols>
  <sheetData>
    <row r="1" spans="1:167" x14ac:dyDescent="0.3">
      <c r="A1" s="26" t="s">
        <v>101</v>
      </c>
      <c r="B1" s="26"/>
      <c r="C1" s="27"/>
    </row>
    <row r="2" spans="1:167" x14ac:dyDescent="0.3">
      <c r="A2" s="26" t="s">
        <v>71</v>
      </c>
      <c r="B2" s="26"/>
    </row>
    <row r="3" spans="1:167" x14ac:dyDescent="0.3">
      <c r="A3" s="26" t="s">
        <v>93</v>
      </c>
      <c r="B3" s="26"/>
    </row>
    <row r="4" spans="1:167" x14ac:dyDescent="0.3">
      <c r="A4" s="26" t="s">
        <v>92</v>
      </c>
      <c r="B4" s="26"/>
    </row>
    <row r="5" spans="1:167" x14ac:dyDescent="0.3">
      <c r="A5" s="26" t="s">
        <v>74</v>
      </c>
      <c r="B5" s="26"/>
    </row>
    <row r="6" spans="1:167" x14ac:dyDescent="0.3">
      <c r="A6" s="26" t="s">
        <v>75</v>
      </c>
      <c r="B6" s="26"/>
    </row>
    <row r="7" spans="1:167" x14ac:dyDescent="0.3">
      <c r="A7" s="26"/>
    </row>
    <row r="8" spans="1:167" x14ac:dyDescent="0.3">
      <c r="A8" s="29" t="s">
        <v>1</v>
      </c>
      <c r="B8" s="30">
        <v>0.4</v>
      </c>
    </row>
    <row r="9" spans="1:167" x14ac:dyDescent="0.3">
      <c r="A9" s="28" t="s">
        <v>2</v>
      </c>
      <c r="C9" s="31">
        <v>1</v>
      </c>
      <c r="D9" s="31">
        <v>2</v>
      </c>
      <c r="E9" s="31">
        <v>3</v>
      </c>
      <c r="F9" s="31">
        <v>4</v>
      </c>
      <c r="G9" s="31">
        <v>5</v>
      </c>
      <c r="H9" s="31">
        <v>6</v>
      </c>
      <c r="I9" s="31">
        <v>7</v>
      </c>
      <c r="J9" s="31">
        <v>9</v>
      </c>
      <c r="K9" s="31">
        <v>11</v>
      </c>
      <c r="L9" s="31">
        <v>12</v>
      </c>
      <c r="M9" s="31">
        <v>13</v>
      </c>
      <c r="N9" s="31">
        <v>14</v>
      </c>
      <c r="O9" s="31">
        <v>15</v>
      </c>
      <c r="P9" s="31">
        <v>16</v>
      </c>
      <c r="Q9" s="31">
        <v>17</v>
      </c>
      <c r="R9" s="31">
        <v>18</v>
      </c>
      <c r="S9" s="31">
        <v>19</v>
      </c>
      <c r="T9" s="31">
        <v>20</v>
      </c>
      <c r="U9" s="31">
        <v>21</v>
      </c>
      <c r="V9" s="31">
        <v>22</v>
      </c>
      <c r="W9" s="31">
        <v>23</v>
      </c>
      <c r="X9" s="31">
        <v>24</v>
      </c>
      <c r="Y9" s="31">
        <v>25</v>
      </c>
      <c r="Z9" s="31">
        <v>26</v>
      </c>
      <c r="AA9" s="31">
        <v>27</v>
      </c>
      <c r="AB9" s="31">
        <v>28</v>
      </c>
      <c r="AC9" s="31">
        <v>29</v>
      </c>
      <c r="AD9" s="31">
        <v>30</v>
      </c>
      <c r="AE9" s="31">
        <v>31</v>
      </c>
      <c r="AF9" s="31">
        <v>32</v>
      </c>
      <c r="AG9" s="31">
        <v>33</v>
      </c>
      <c r="AH9" s="31">
        <v>35</v>
      </c>
      <c r="AI9" s="31">
        <v>36</v>
      </c>
      <c r="AJ9" s="31">
        <v>38</v>
      </c>
      <c r="AK9" s="31">
        <v>39</v>
      </c>
      <c r="AL9" s="31">
        <v>41</v>
      </c>
      <c r="AM9" s="31">
        <v>42</v>
      </c>
      <c r="AN9" s="31">
        <v>43</v>
      </c>
      <c r="AO9" s="31">
        <v>44</v>
      </c>
      <c r="AP9" s="31">
        <v>45</v>
      </c>
      <c r="AQ9" s="31">
        <v>46</v>
      </c>
      <c r="AR9" s="31">
        <v>47</v>
      </c>
      <c r="AS9" s="31">
        <v>48</v>
      </c>
      <c r="AT9" s="31">
        <v>49</v>
      </c>
      <c r="AU9" s="31">
        <v>50</v>
      </c>
      <c r="AV9" s="31">
        <v>51</v>
      </c>
      <c r="AW9" s="31">
        <v>52</v>
      </c>
      <c r="AX9" s="31">
        <v>53</v>
      </c>
      <c r="AY9" s="31">
        <v>54</v>
      </c>
      <c r="AZ9" s="31">
        <v>55</v>
      </c>
      <c r="BA9" s="31">
        <v>56</v>
      </c>
      <c r="BB9" s="31">
        <v>57</v>
      </c>
      <c r="BC9" s="31">
        <v>58</v>
      </c>
      <c r="BD9" s="31">
        <v>59</v>
      </c>
      <c r="BE9" s="31">
        <v>60</v>
      </c>
      <c r="BF9" s="31">
        <v>61</v>
      </c>
      <c r="BG9" s="31">
        <v>62</v>
      </c>
      <c r="BH9" s="31">
        <v>63</v>
      </c>
      <c r="BI9" s="31">
        <v>64</v>
      </c>
      <c r="BJ9" s="31">
        <v>65</v>
      </c>
      <c r="BK9" s="31">
        <v>66</v>
      </c>
      <c r="BL9" s="31">
        <v>67</v>
      </c>
      <c r="BM9" s="31">
        <v>68</v>
      </c>
      <c r="BN9" s="31">
        <v>69</v>
      </c>
      <c r="BO9" s="31">
        <v>70</v>
      </c>
      <c r="BP9" s="31">
        <v>71</v>
      </c>
      <c r="BQ9" s="31">
        <v>72</v>
      </c>
      <c r="BR9" s="31">
        <v>73</v>
      </c>
      <c r="BS9" s="31">
        <v>74</v>
      </c>
      <c r="BT9" s="31">
        <v>75</v>
      </c>
      <c r="BU9" s="31">
        <v>76</v>
      </c>
      <c r="BV9" s="31">
        <v>77</v>
      </c>
      <c r="BW9" s="31">
        <v>78</v>
      </c>
      <c r="BX9" s="31">
        <v>79</v>
      </c>
      <c r="BY9" s="31">
        <v>80</v>
      </c>
      <c r="BZ9" s="31">
        <v>81</v>
      </c>
      <c r="CA9" s="31">
        <v>82</v>
      </c>
      <c r="CB9" s="31">
        <v>83</v>
      </c>
      <c r="CC9" s="31">
        <v>84</v>
      </c>
      <c r="CD9" s="31">
        <v>85</v>
      </c>
      <c r="CE9" s="31">
        <v>86</v>
      </c>
      <c r="CF9" s="31">
        <v>87</v>
      </c>
      <c r="CG9" s="31">
        <v>88</v>
      </c>
      <c r="CH9" s="31">
        <v>89</v>
      </c>
      <c r="CI9" s="31">
        <v>90</v>
      </c>
      <c r="CJ9" s="31">
        <v>91</v>
      </c>
      <c r="CK9" s="31">
        <v>92</v>
      </c>
      <c r="CL9" s="31">
        <v>93</v>
      </c>
      <c r="CM9" s="31">
        <v>94</v>
      </c>
      <c r="CN9" s="31">
        <v>95</v>
      </c>
      <c r="CO9" s="31">
        <v>96</v>
      </c>
      <c r="CP9" s="31">
        <v>97</v>
      </c>
      <c r="CQ9" s="31">
        <v>98</v>
      </c>
      <c r="CR9" s="31">
        <v>99</v>
      </c>
      <c r="CS9" s="31">
        <v>100</v>
      </c>
      <c r="CT9" s="31">
        <v>101</v>
      </c>
      <c r="CU9" s="31">
        <v>102</v>
      </c>
      <c r="CV9" s="31">
        <v>103</v>
      </c>
      <c r="CW9" s="31">
        <v>104</v>
      </c>
      <c r="CX9" s="31">
        <v>105</v>
      </c>
      <c r="CY9" s="31">
        <v>106</v>
      </c>
      <c r="CZ9" s="31">
        <v>107</v>
      </c>
      <c r="DA9" s="31">
        <v>108</v>
      </c>
      <c r="DB9" s="31">
        <v>109</v>
      </c>
      <c r="DC9" s="31">
        <v>110</v>
      </c>
      <c r="DD9" s="31">
        <v>111</v>
      </c>
      <c r="DE9" s="31">
        <v>112</v>
      </c>
      <c r="DF9" s="31">
        <v>113</v>
      </c>
      <c r="DG9" s="31">
        <v>114</v>
      </c>
      <c r="DH9" s="31">
        <v>115</v>
      </c>
      <c r="DI9" s="31">
        <v>116</v>
      </c>
      <c r="DJ9" s="31">
        <v>117</v>
      </c>
      <c r="DK9" s="31">
        <v>118</v>
      </c>
      <c r="DL9" s="31">
        <v>119</v>
      </c>
      <c r="DM9" s="31">
        <v>120</v>
      </c>
      <c r="DN9" s="31">
        <v>121</v>
      </c>
      <c r="DO9" s="31">
        <v>122</v>
      </c>
      <c r="DP9" s="31">
        <v>123</v>
      </c>
      <c r="DQ9" s="31">
        <v>124</v>
      </c>
      <c r="DR9" s="31">
        <v>125</v>
      </c>
      <c r="DS9" s="31">
        <v>126</v>
      </c>
      <c r="DT9" s="31">
        <v>127</v>
      </c>
      <c r="DU9" s="31">
        <v>128</v>
      </c>
      <c r="DV9" s="31">
        <v>129</v>
      </c>
      <c r="DW9" s="31">
        <v>130</v>
      </c>
      <c r="DX9" s="31">
        <v>131</v>
      </c>
      <c r="DY9" s="31">
        <v>132</v>
      </c>
      <c r="DZ9" s="31">
        <v>133</v>
      </c>
      <c r="EA9" s="31">
        <v>134</v>
      </c>
      <c r="EB9" s="31">
        <v>135</v>
      </c>
      <c r="EC9" s="31">
        <v>136</v>
      </c>
      <c r="ED9" s="31">
        <v>137</v>
      </c>
      <c r="EE9" s="31">
        <v>138</v>
      </c>
      <c r="EF9" s="31">
        <v>139</v>
      </c>
      <c r="EG9" s="31">
        <v>140</v>
      </c>
      <c r="EH9" s="31">
        <v>141</v>
      </c>
      <c r="EI9" s="31">
        <v>142</v>
      </c>
      <c r="EJ9" s="31">
        <v>143</v>
      </c>
      <c r="EK9" s="31">
        <v>144</v>
      </c>
      <c r="EL9" s="31">
        <v>145</v>
      </c>
      <c r="EM9" s="31">
        <v>146</v>
      </c>
      <c r="EN9" s="31">
        <v>147</v>
      </c>
      <c r="EO9" s="31">
        <v>148</v>
      </c>
      <c r="EP9" s="31">
        <v>149</v>
      </c>
      <c r="EQ9" s="31">
        <v>150</v>
      </c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</row>
    <row r="10" spans="1:167" s="32" customFormat="1" ht="81" x14ac:dyDescent="0.35">
      <c r="A10" s="32" t="s">
        <v>3</v>
      </c>
      <c r="B10" s="32" t="s">
        <v>4</v>
      </c>
      <c r="C10" s="32" t="s">
        <v>96</v>
      </c>
      <c r="D10" s="32" t="s">
        <v>97</v>
      </c>
      <c r="E10" s="32" t="s">
        <v>98</v>
      </c>
      <c r="F10" s="32" t="s">
        <v>99</v>
      </c>
      <c r="G10" s="32" t="s">
        <v>60</v>
      </c>
      <c r="H10" s="32" t="s">
        <v>61</v>
      </c>
      <c r="I10" s="32" t="s">
        <v>62</v>
      </c>
      <c r="J10" s="32" t="s">
        <v>63</v>
      </c>
      <c r="K10" s="32" t="s">
        <v>64</v>
      </c>
      <c r="L10" s="32" t="s">
        <v>65</v>
      </c>
      <c r="M10" s="32" t="s">
        <v>66</v>
      </c>
      <c r="N10" s="32" t="s">
        <v>67</v>
      </c>
      <c r="O10" s="32" t="s">
        <v>76</v>
      </c>
      <c r="P10" s="32" t="s">
        <v>77</v>
      </c>
      <c r="Q10" s="32" t="s">
        <v>78</v>
      </c>
      <c r="R10" s="32" t="s">
        <v>79</v>
      </c>
      <c r="S10" s="32" t="s">
        <v>80</v>
      </c>
      <c r="T10" s="32" t="s">
        <v>81</v>
      </c>
      <c r="U10" s="32" t="s">
        <v>82</v>
      </c>
      <c r="V10" s="32" t="s">
        <v>83</v>
      </c>
      <c r="W10" s="32" t="s">
        <v>84</v>
      </c>
      <c r="X10" s="32" t="s">
        <v>85</v>
      </c>
      <c r="Y10" s="32" t="s">
        <v>86</v>
      </c>
      <c r="Z10" s="32" t="s">
        <v>87</v>
      </c>
      <c r="AA10" s="32" t="s">
        <v>88</v>
      </c>
      <c r="AB10" s="32" t="s">
        <v>89</v>
      </c>
      <c r="AC10" s="32" t="s">
        <v>90</v>
      </c>
      <c r="AD10" s="32" t="s">
        <v>91</v>
      </c>
      <c r="AU10" s="32">
        <v>0</v>
      </c>
      <c r="AV10" s="32">
        <v>0</v>
      </c>
      <c r="AW10" s="32">
        <v>0</v>
      </c>
      <c r="AX10" s="32">
        <v>0</v>
      </c>
      <c r="AY10" s="32">
        <v>0</v>
      </c>
      <c r="AZ10" s="32">
        <v>0</v>
      </c>
      <c r="BA10" s="32">
        <v>0</v>
      </c>
      <c r="BB10" s="32">
        <v>0</v>
      </c>
      <c r="BC10" s="32">
        <v>0</v>
      </c>
      <c r="BD10" s="32">
        <v>0</v>
      </c>
      <c r="BE10" s="32">
        <v>0</v>
      </c>
      <c r="BF10" s="32">
        <v>0</v>
      </c>
      <c r="BG10" s="32">
        <v>0</v>
      </c>
      <c r="BH10" s="32">
        <v>0</v>
      </c>
      <c r="BI10" s="32">
        <v>0</v>
      </c>
      <c r="BJ10" s="32">
        <v>0</v>
      </c>
      <c r="BK10" s="32">
        <v>0</v>
      </c>
      <c r="BL10" s="32">
        <v>0</v>
      </c>
      <c r="BM10" s="32">
        <v>0</v>
      </c>
      <c r="BN10" s="32">
        <v>0</v>
      </c>
      <c r="BO10" s="32">
        <v>0</v>
      </c>
      <c r="BP10" s="32">
        <v>0</v>
      </c>
      <c r="BQ10" s="32">
        <v>0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0</v>
      </c>
      <c r="DL10" s="32">
        <v>0</v>
      </c>
      <c r="DM10" s="32">
        <v>0</v>
      </c>
      <c r="DN10" s="32">
        <v>0</v>
      </c>
      <c r="DO10" s="32">
        <v>0</v>
      </c>
      <c r="DP10" s="32">
        <v>0</v>
      </c>
      <c r="DQ10" s="32">
        <v>0</v>
      </c>
      <c r="DR10" s="32">
        <v>0</v>
      </c>
      <c r="DS10" s="32">
        <v>0</v>
      </c>
      <c r="DT10" s="32">
        <v>0</v>
      </c>
      <c r="DU10" s="32">
        <v>0</v>
      </c>
      <c r="DV10" s="32">
        <v>0</v>
      </c>
      <c r="DW10" s="32">
        <v>0</v>
      </c>
      <c r="DX10" s="32">
        <v>0</v>
      </c>
      <c r="DY10" s="32">
        <v>0</v>
      </c>
      <c r="DZ10" s="32">
        <v>0</v>
      </c>
      <c r="EA10" s="32">
        <v>0</v>
      </c>
      <c r="EB10" s="32">
        <v>0</v>
      </c>
      <c r="EC10" s="32">
        <v>0</v>
      </c>
      <c r="ED10" s="32">
        <v>0</v>
      </c>
      <c r="EE10" s="32">
        <v>0</v>
      </c>
      <c r="EF10" s="32">
        <v>0</v>
      </c>
      <c r="EG10" s="32">
        <v>0</v>
      </c>
      <c r="EH10" s="32">
        <v>0</v>
      </c>
      <c r="EI10" s="32">
        <v>0</v>
      </c>
      <c r="EJ10" s="32">
        <v>0</v>
      </c>
      <c r="EK10" s="32">
        <v>0</v>
      </c>
      <c r="EL10" s="32">
        <v>0</v>
      </c>
      <c r="EM10" s="32">
        <v>0</v>
      </c>
      <c r="EN10" s="32">
        <v>0</v>
      </c>
      <c r="EO10" s="32">
        <v>0</v>
      </c>
      <c r="EP10" s="32">
        <v>0</v>
      </c>
      <c r="EQ10" s="32">
        <v>0</v>
      </c>
    </row>
    <row r="11" spans="1:167" ht="14.5" x14ac:dyDescent="0.35">
      <c r="A11" s="28" t="s">
        <v>96</v>
      </c>
      <c r="B11" s="54">
        <v>1.2359394315973851</v>
      </c>
      <c r="C11" s="34">
        <v>1</v>
      </c>
      <c r="D11" s="34">
        <v>0.53889332286503155</v>
      </c>
      <c r="E11" s="34">
        <v>0.50776396701700577</v>
      </c>
      <c r="F11" s="34">
        <v>0.10849614543709575</v>
      </c>
      <c r="G11" s="34">
        <v>0.63323800238878603</v>
      </c>
      <c r="H11" s="34">
        <v>0.70149511593827774</v>
      </c>
      <c r="I11" s="34">
        <v>0.68848931285096504</v>
      </c>
      <c r="J11" s="34">
        <v>0.75545960180266891</v>
      </c>
      <c r="K11" s="34">
        <v>0.63876306001489014</v>
      </c>
      <c r="L11" s="34">
        <v>0.70629475176729462</v>
      </c>
      <c r="M11" s="34">
        <v>0.60583293239606195</v>
      </c>
      <c r="N11" s="34">
        <v>0.67299693557554174</v>
      </c>
      <c r="O11" s="34">
        <v>0.43359728061885727</v>
      </c>
      <c r="P11" s="34">
        <v>0.47941473490693987</v>
      </c>
      <c r="Q11" s="34">
        <v>0.42753570481546566</v>
      </c>
      <c r="R11" s="34">
        <v>0.49057223070750883</v>
      </c>
      <c r="S11" s="34">
        <v>0.26049926832962012</v>
      </c>
      <c r="T11" s="34">
        <v>0.34620110600888837</v>
      </c>
      <c r="U11" s="34">
        <v>0.4290225751300194</v>
      </c>
      <c r="V11" s="34">
        <v>0.38382326140385409</v>
      </c>
      <c r="W11" s="34">
        <v>0.37148076810041158</v>
      </c>
      <c r="X11" s="34">
        <v>0.38599192464802679</v>
      </c>
      <c r="Y11" s="34">
        <v>0.50568276531027434</v>
      </c>
      <c r="Z11" s="34">
        <v>0.4222053988492227</v>
      </c>
      <c r="AA11" s="34">
        <v>0.46728797874563888</v>
      </c>
      <c r="AB11" s="34">
        <v>0.45422282613571874</v>
      </c>
      <c r="AC11" s="34">
        <v>0.38495888897841152</v>
      </c>
      <c r="AD11" s="34">
        <v>0.28062206053840355</v>
      </c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</row>
    <row r="12" spans="1:167" ht="14.5" x14ac:dyDescent="0.35">
      <c r="A12" s="28" t="s">
        <v>97</v>
      </c>
      <c r="B12" s="35">
        <v>182.14767694613556</v>
      </c>
      <c r="C12" s="34">
        <v>0.53889332286503155</v>
      </c>
      <c r="D12" s="34">
        <v>1</v>
      </c>
      <c r="E12" s="34">
        <v>3.8469740739412221E-2</v>
      </c>
      <c r="F12" s="34">
        <v>-0.25795837876954419</v>
      </c>
      <c r="G12" s="34">
        <v>0.63357796231232499</v>
      </c>
      <c r="H12" s="34">
        <v>0.53835977602475138</v>
      </c>
      <c r="I12" s="34">
        <v>0.23756055271240217</v>
      </c>
      <c r="J12" s="34">
        <v>0.22311459880734735</v>
      </c>
      <c r="K12" s="34">
        <v>0.63692252032375685</v>
      </c>
      <c r="L12" s="34">
        <v>0.60968699248888059</v>
      </c>
      <c r="M12" s="34">
        <v>0.51526715264737921</v>
      </c>
      <c r="N12" s="34">
        <v>0.48037924839618484</v>
      </c>
      <c r="O12" s="34">
        <v>0.37063526809205161</v>
      </c>
      <c r="P12" s="34">
        <v>0.39982136919458661</v>
      </c>
      <c r="Q12" s="34">
        <v>0.3739680937259478</v>
      </c>
      <c r="R12" s="34">
        <v>0.43959225288973947</v>
      </c>
      <c r="S12" s="34">
        <v>0.19823626713323619</v>
      </c>
      <c r="T12" s="34">
        <v>0.28942181092201386</v>
      </c>
      <c r="U12" s="34">
        <v>0.32772546840664951</v>
      </c>
      <c r="V12" s="34">
        <v>0.32926736432926246</v>
      </c>
      <c r="W12" s="34">
        <v>0.2724554057489218</v>
      </c>
      <c r="X12" s="34">
        <v>0.28638757731087738</v>
      </c>
      <c r="Y12" s="34">
        <v>0.40730192750185701</v>
      </c>
      <c r="Z12" s="34">
        <v>0.32773956833839535</v>
      </c>
      <c r="AA12" s="34">
        <v>0.40060104028333515</v>
      </c>
      <c r="AB12" s="34">
        <v>0.38011617684845378</v>
      </c>
      <c r="AC12" s="34">
        <v>0.30250588178206295</v>
      </c>
      <c r="AD12" s="34">
        <v>0.17326095073839179</v>
      </c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</row>
    <row r="13" spans="1:167" x14ac:dyDescent="0.3">
      <c r="A13" s="28" t="s">
        <v>98</v>
      </c>
      <c r="B13" s="36">
        <v>152.69086754462603</v>
      </c>
      <c r="C13" s="34">
        <v>0.50776396701700577</v>
      </c>
      <c r="D13" s="34">
        <v>3.8469740739412221E-2</v>
      </c>
      <c r="E13" s="34">
        <v>1</v>
      </c>
      <c r="F13" s="34">
        <v>-9.6276048430107314E-2</v>
      </c>
      <c r="G13" s="34">
        <v>0.25258965012394946</v>
      </c>
      <c r="H13" s="34">
        <v>0.1806615359983797</v>
      </c>
      <c r="I13" s="34">
        <v>0.76547478471463404</v>
      </c>
      <c r="J13" s="34">
        <v>0.69731419874332623</v>
      </c>
      <c r="K13" s="34">
        <v>0.22875148322013952</v>
      </c>
      <c r="L13" s="34">
        <v>0.17976598212672509</v>
      </c>
      <c r="M13" s="34">
        <v>0.31128769169844589</v>
      </c>
      <c r="N13" s="34">
        <v>0.27260111182998159</v>
      </c>
      <c r="O13" s="34">
        <v>0.17465339453880888</v>
      </c>
      <c r="P13" s="34">
        <v>0.26389554176759866</v>
      </c>
      <c r="Q13" s="34">
        <v>0.19240794544123302</v>
      </c>
      <c r="R13" s="34">
        <v>0.20013392809135749</v>
      </c>
      <c r="S13" s="34">
        <v>0.109172040337093</v>
      </c>
      <c r="T13" s="34">
        <v>0.13057991133570521</v>
      </c>
      <c r="U13" s="34">
        <v>0.16708996267288009</v>
      </c>
      <c r="V13" s="34">
        <v>0.18855394223577979</v>
      </c>
      <c r="W13" s="34">
        <v>0.17337106391022597</v>
      </c>
      <c r="X13" s="34">
        <v>0.19175767841473948</v>
      </c>
      <c r="Y13" s="34">
        <v>0.18982976918170433</v>
      </c>
      <c r="Z13" s="34">
        <v>0.20580704748242593</v>
      </c>
      <c r="AA13" s="34">
        <v>0.1648844021044002</v>
      </c>
      <c r="AB13" s="34">
        <v>0.1851896008951775</v>
      </c>
      <c r="AC13" s="34">
        <v>0.17009287029662049</v>
      </c>
      <c r="AD13" s="34">
        <v>0.13306348008534563</v>
      </c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</row>
    <row r="14" spans="1:167" x14ac:dyDescent="0.3">
      <c r="A14" s="28" t="s">
        <v>99</v>
      </c>
      <c r="B14" s="36">
        <v>256.3508326475183</v>
      </c>
      <c r="C14" s="34">
        <v>0.10849614543709575</v>
      </c>
      <c r="D14" s="34">
        <v>-0.25795837876954419</v>
      </c>
      <c r="E14" s="34">
        <v>-9.6276048430107314E-2</v>
      </c>
      <c r="F14" s="34">
        <v>1</v>
      </c>
      <c r="G14" s="34">
        <v>-2.568825253949112E-2</v>
      </c>
      <c r="H14" s="34">
        <v>0.12628594668320325</v>
      </c>
      <c r="I14" s="34">
        <v>-6.5448836993832041E-2</v>
      </c>
      <c r="J14" s="34">
        <v>-2.7195005064126948E-2</v>
      </c>
      <c r="K14" s="34">
        <v>-5.205653283163364E-2</v>
      </c>
      <c r="L14" s="34">
        <v>2.2951904883041521E-2</v>
      </c>
      <c r="M14" s="34">
        <v>-8.3238068835718659E-2</v>
      </c>
      <c r="N14" s="34">
        <v>-9.8693554576392492E-3</v>
      </c>
      <c r="O14" s="34">
        <v>5.0958208170334612E-2</v>
      </c>
      <c r="P14" s="34">
        <v>6.806678982313917E-2</v>
      </c>
      <c r="Q14" s="34">
        <v>0.10319541071472693</v>
      </c>
      <c r="R14" s="34">
        <v>8.1670093574892869E-2</v>
      </c>
      <c r="S14" s="34">
        <v>5.9801914784380253E-2</v>
      </c>
      <c r="T14" s="34">
        <v>6.4078650670354925E-2</v>
      </c>
      <c r="U14" s="34">
        <v>0.10276661444947427</v>
      </c>
      <c r="V14" s="34">
        <v>4.0131266625228666E-2</v>
      </c>
      <c r="W14" s="34">
        <v>0.10377216700617016</v>
      </c>
      <c r="X14" s="34">
        <v>3.9096989996502601E-2</v>
      </c>
      <c r="Y14" s="34">
        <v>0.12208185126134001</v>
      </c>
      <c r="Z14" s="34">
        <v>5.6026529978770258E-2</v>
      </c>
      <c r="AA14" s="34">
        <v>6.7618081130227534E-2</v>
      </c>
      <c r="AB14" s="34">
        <v>3.4493992382473242E-2</v>
      </c>
      <c r="AC14" s="34">
        <v>8.1668366492824135E-2</v>
      </c>
      <c r="AD14" s="34">
        <v>4.0001000351283941E-2</v>
      </c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</row>
    <row r="15" spans="1:167" x14ac:dyDescent="0.3">
      <c r="A15" s="28" t="s">
        <v>60</v>
      </c>
      <c r="B15" s="37">
        <v>0.62649382009473487</v>
      </c>
      <c r="C15" s="34">
        <v>0.63323800238878603</v>
      </c>
      <c r="D15" s="34">
        <v>0.63357796231232499</v>
      </c>
      <c r="E15" s="34">
        <v>0.25258965012394946</v>
      </c>
      <c r="F15" s="34">
        <v>-2.568825253949112E-2</v>
      </c>
      <c r="G15" s="34">
        <v>1</v>
      </c>
      <c r="H15" s="34">
        <v>0.61574038440737633</v>
      </c>
      <c r="I15" s="34">
        <v>0.52066279747982624</v>
      </c>
      <c r="J15" s="34">
        <v>0.42359496824933363</v>
      </c>
      <c r="K15" s="34">
        <v>0.60698107552209479</v>
      </c>
      <c r="L15" s="34">
        <v>0.53508220707174647</v>
      </c>
      <c r="M15" s="34">
        <v>0.46416476987006861</v>
      </c>
      <c r="N15" s="34">
        <v>0.40786020728906192</v>
      </c>
      <c r="O15" s="34">
        <v>0.41700401433134043</v>
      </c>
      <c r="P15" s="34">
        <v>0.39393117161904517</v>
      </c>
      <c r="Q15" s="34">
        <v>0.39926877236310743</v>
      </c>
      <c r="R15" s="34">
        <v>0.4320902042160783</v>
      </c>
      <c r="S15" s="34">
        <v>0.26627277681043948</v>
      </c>
      <c r="T15" s="34">
        <v>0.2264838856749857</v>
      </c>
      <c r="U15" s="34">
        <v>0.35960265089636395</v>
      </c>
      <c r="V15" s="34">
        <v>0.35348851993328229</v>
      </c>
      <c r="W15" s="34">
        <v>0.2746182325080988</v>
      </c>
      <c r="X15" s="34">
        <v>0.35451195000868557</v>
      </c>
      <c r="Y15" s="34">
        <v>0.39857481480031126</v>
      </c>
      <c r="Z15" s="34">
        <v>0.41323706672384114</v>
      </c>
      <c r="AA15" s="34">
        <v>0.44218344002643689</v>
      </c>
      <c r="AB15" s="34">
        <v>0.43079329686580692</v>
      </c>
      <c r="AC15" s="34">
        <v>0.39117489273790268</v>
      </c>
      <c r="AD15" s="34">
        <v>0.26270176730426043</v>
      </c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</row>
    <row r="16" spans="1:167" ht="14.5" x14ac:dyDescent="0.35">
      <c r="A16" s="28" t="s">
        <v>61</v>
      </c>
      <c r="B16" s="33">
        <v>0.81563719748041286</v>
      </c>
      <c r="C16" s="34">
        <v>0.70149511593827774</v>
      </c>
      <c r="D16" s="34">
        <v>0.53835977602475138</v>
      </c>
      <c r="E16" s="34">
        <v>0.1806615359983797</v>
      </c>
      <c r="F16" s="34">
        <v>0.12628594668320325</v>
      </c>
      <c r="G16" s="34">
        <v>0.61574038440737633</v>
      </c>
      <c r="H16" s="34">
        <v>1</v>
      </c>
      <c r="I16" s="34">
        <v>0.37394526705955261</v>
      </c>
      <c r="J16" s="34">
        <v>0.41711612116654651</v>
      </c>
      <c r="K16" s="34">
        <v>0.48683436866030255</v>
      </c>
      <c r="L16" s="34">
        <v>0.57387999620357188</v>
      </c>
      <c r="M16" s="34">
        <v>0.3445405368738072</v>
      </c>
      <c r="N16" s="34">
        <v>0.43611252973950287</v>
      </c>
      <c r="O16" s="34">
        <v>0.41804232257587387</v>
      </c>
      <c r="P16" s="34">
        <v>0.40906367047187009</v>
      </c>
      <c r="Q16" s="34">
        <v>0.39983264090829473</v>
      </c>
      <c r="R16" s="34">
        <v>0.49774534315175012</v>
      </c>
      <c r="S16" s="34">
        <v>0.25232045266976377</v>
      </c>
      <c r="T16" s="34">
        <v>0.27004488271702792</v>
      </c>
      <c r="U16" s="34">
        <v>0.38574721687308894</v>
      </c>
      <c r="V16" s="34">
        <v>0.33054410837923243</v>
      </c>
      <c r="W16" s="34">
        <v>0.31700938648744242</v>
      </c>
      <c r="X16" s="34">
        <v>0.35585158220277174</v>
      </c>
      <c r="Y16" s="34">
        <v>0.47373838462934731</v>
      </c>
      <c r="Z16" s="34">
        <v>0.38036317709623502</v>
      </c>
      <c r="AA16" s="34">
        <v>0.44673745093618411</v>
      </c>
      <c r="AB16" s="34">
        <v>0.44081924069825074</v>
      </c>
      <c r="AC16" s="34">
        <v>0.36805056543537057</v>
      </c>
      <c r="AD16" s="34">
        <v>0.25250169708212167</v>
      </c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</row>
    <row r="17" spans="1:167" ht="14.5" x14ac:dyDescent="0.35">
      <c r="A17" s="28" t="s">
        <v>62</v>
      </c>
      <c r="B17" s="33">
        <v>0.53517645910137979</v>
      </c>
      <c r="C17" s="34">
        <v>0.68848931285096504</v>
      </c>
      <c r="D17" s="34">
        <v>0.23756055271240217</v>
      </c>
      <c r="E17" s="34">
        <v>0.76547478471463404</v>
      </c>
      <c r="F17" s="34">
        <v>-6.5448836993832041E-2</v>
      </c>
      <c r="G17" s="34">
        <v>0.52066279747982624</v>
      </c>
      <c r="H17" s="34">
        <v>0.37394526705955261</v>
      </c>
      <c r="I17" s="34">
        <v>1</v>
      </c>
      <c r="J17" s="34">
        <v>0.72686082298084709</v>
      </c>
      <c r="K17" s="34">
        <v>0.52653521033055173</v>
      </c>
      <c r="L17" s="34">
        <v>0.42437372168699633</v>
      </c>
      <c r="M17" s="34">
        <v>0.53409458135565269</v>
      </c>
      <c r="N17" s="34">
        <v>0.42012347362954583</v>
      </c>
      <c r="O17" s="34">
        <v>0.29109677209460849</v>
      </c>
      <c r="P17" s="34">
        <v>0.34517423144593279</v>
      </c>
      <c r="Q17" s="34">
        <v>0.27310876894392416</v>
      </c>
      <c r="R17" s="34">
        <v>0.32173136871028923</v>
      </c>
      <c r="S17" s="34">
        <v>0.1794322408307569</v>
      </c>
      <c r="T17" s="34">
        <v>0.20999187928482307</v>
      </c>
      <c r="U17" s="34">
        <v>0.25505180729528637</v>
      </c>
      <c r="V17" s="34">
        <v>0.26054895532755223</v>
      </c>
      <c r="W17" s="34">
        <v>0.24502351455162497</v>
      </c>
      <c r="X17" s="34">
        <v>0.28025001964810575</v>
      </c>
      <c r="Y17" s="34">
        <v>0.29037903717229674</v>
      </c>
      <c r="Z17" s="34">
        <v>0.33134564987701276</v>
      </c>
      <c r="AA17" s="34">
        <v>0.28658552600018655</v>
      </c>
      <c r="AB17" s="34">
        <v>0.30312449702147565</v>
      </c>
      <c r="AC17" s="34">
        <v>0.27489322188837123</v>
      </c>
      <c r="AD17" s="34">
        <v>0.20483777623612845</v>
      </c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</row>
    <row r="18" spans="1:167" ht="14.5" x14ac:dyDescent="0.35">
      <c r="A18" s="28" t="s">
        <v>63</v>
      </c>
      <c r="B18" s="33">
        <v>0.68546006451916075</v>
      </c>
      <c r="C18" s="34">
        <v>0.75545960180266891</v>
      </c>
      <c r="D18" s="34">
        <v>0.22311459880734735</v>
      </c>
      <c r="E18" s="34">
        <v>0.69731419874332623</v>
      </c>
      <c r="F18" s="34">
        <v>-2.7195005064126948E-2</v>
      </c>
      <c r="G18" s="34">
        <v>0.42359496824933363</v>
      </c>
      <c r="H18" s="34">
        <v>0.41711612116654651</v>
      </c>
      <c r="I18" s="34">
        <v>0.72686082298084709</v>
      </c>
      <c r="J18" s="34">
        <v>1</v>
      </c>
      <c r="K18" s="34">
        <v>0.41401673419450524</v>
      </c>
      <c r="L18" s="34">
        <v>0.46069171864268965</v>
      </c>
      <c r="M18" s="34">
        <v>0.43197946974857548</v>
      </c>
      <c r="N18" s="34">
        <v>0.48730372199322775</v>
      </c>
      <c r="O18" s="34">
        <v>0.28844408485786699</v>
      </c>
      <c r="P18" s="34">
        <v>0.37567942104267077</v>
      </c>
      <c r="Q18" s="34">
        <v>0.28356457093394694</v>
      </c>
      <c r="R18" s="34">
        <v>0.31447002453977513</v>
      </c>
      <c r="S18" s="34">
        <v>0.18387029936589497</v>
      </c>
      <c r="T18" s="34">
        <v>0.22978050138925638</v>
      </c>
      <c r="U18" s="34">
        <v>0.29807321593214775</v>
      </c>
      <c r="V18" s="34">
        <v>0.25163318727493</v>
      </c>
      <c r="W18" s="34">
        <v>0.25894700170199447</v>
      </c>
      <c r="X18" s="34">
        <v>0.26662983946685825</v>
      </c>
      <c r="Y18" s="34">
        <v>0.31844190896720753</v>
      </c>
      <c r="Z18" s="34">
        <v>0.28731462410294417</v>
      </c>
      <c r="AA18" s="34">
        <v>0.29887444766132881</v>
      </c>
      <c r="AB18" s="34">
        <v>0.30592125559272915</v>
      </c>
      <c r="AC18" s="34">
        <v>0.25383870642917844</v>
      </c>
      <c r="AD18" s="34">
        <v>0.1985155878576767</v>
      </c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</row>
    <row r="19" spans="1:167" ht="14.5" x14ac:dyDescent="0.35">
      <c r="A19" s="28" t="s">
        <v>64</v>
      </c>
      <c r="B19" s="33">
        <v>0.61268793744087457</v>
      </c>
      <c r="C19" s="34">
        <v>0.63876306001489014</v>
      </c>
      <c r="D19" s="34">
        <v>0.63692252032375685</v>
      </c>
      <c r="E19" s="34">
        <v>0.22875148322013952</v>
      </c>
      <c r="F19" s="34">
        <v>-5.205653283163364E-2</v>
      </c>
      <c r="G19" s="34">
        <v>0.60698107552209479</v>
      </c>
      <c r="H19" s="34">
        <v>0.48683436866030255</v>
      </c>
      <c r="I19" s="34">
        <v>0.52653521033055173</v>
      </c>
      <c r="J19" s="34">
        <v>0.41401673419450524</v>
      </c>
      <c r="K19" s="34">
        <v>1</v>
      </c>
      <c r="L19" s="34">
        <v>0.74160990887544498</v>
      </c>
      <c r="M19" s="34">
        <v>0.52784423440574013</v>
      </c>
      <c r="N19" s="34">
        <v>0.4126810797810061</v>
      </c>
      <c r="O19" s="34">
        <v>0.39662083297204781</v>
      </c>
      <c r="P19" s="34">
        <v>0.38394231244957172</v>
      </c>
      <c r="Q19" s="34">
        <v>0.37511460175268507</v>
      </c>
      <c r="R19" s="34">
        <v>0.43185881256205527</v>
      </c>
      <c r="S19" s="34">
        <v>0.27473695647399987</v>
      </c>
      <c r="T19" s="34">
        <v>0.28823949632326523</v>
      </c>
      <c r="U19" s="34">
        <v>0.3422120245993942</v>
      </c>
      <c r="V19" s="34">
        <v>0.33443373465496656</v>
      </c>
      <c r="W19" s="34">
        <v>0.31231633453151542</v>
      </c>
      <c r="X19" s="34">
        <v>0.32400703264164182</v>
      </c>
      <c r="Y19" s="34">
        <v>0.41327751770385279</v>
      </c>
      <c r="Z19" s="34">
        <v>0.3866590961158986</v>
      </c>
      <c r="AA19" s="34">
        <v>0.42428079719884182</v>
      </c>
      <c r="AB19" s="34">
        <v>0.41855597881834972</v>
      </c>
      <c r="AC19" s="34">
        <v>0.35811249088375569</v>
      </c>
      <c r="AD19" s="34">
        <v>0.26959546440597454</v>
      </c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</row>
    <row r="20" spans="1:167" ht="14.5" x14ac:dyDescent="0.35">
      <c r="A20" s="28" t="s">
        <v>65</v>
      </c>
      <c r="B20" s="33">
        <v>0.74201898025655433</v>
      </c>
      <c r="C20" s="34">
        <v>0.70629475176729462</v>
      </c>
      <c r="D20" s="34">
        <v>0.60968699248888059</v>
      </c>
      <c r="E20" s="34">
        <v>0.17976598212672509</v>
      </c>
      <c r="F20" s="34">
        <v>2.2951904883041521E-2</v>
      </c>
      <c r="G20" s="34">
        <v>0.53508220707174647</v>
      </c>
      <c r="H20" s="34">
        <v>0.57387999620357188</v>
      </c>
      <c r="I20" s="34">
        <v>0.42437372168699633</v>
      </c>
      <c r="J20" s="34">
        <v>0.46069171864268965</v>
      </c>
      <c r="K20" s="34">
        <v>0.74160990887544498</v>
      </c>
      <c r="L20" s="34">
        <v>1</v>
      </c>
      <c r="M20" s="34">
        <v>0.45058892566042774</v>
      </c>
      <c r="N20" s="34">
        <v>0.49163335085260457</v>
      </c>
      <c r="O20" s="34">
        <v>0.40230910115083451</v>
      </c>
      <c r="P20" s="34">
        <v>0.38447241414865774</v>
      </c>
      <c r="Q20" s="34">
        <v>0.36773145799791884</v>
      </c>
      <c r="R20" s="34">
        <v>0.42058104285503206</v>
      </c>
      <c r="S20" s="34">
        <v>0.24816194199264865</v>
      </c>
      <c r="T20" s="34">
        <v>0.27534638314308829</v>
      </c>
      <c r="U20" s="34">
        <v>0.38555929049225485</v>
      </c>
      <c r="V20" s="34">
        <v>0.31512694867986246</v>
      </c>
      <c r="W20" s="34">
        <v>0.32995390655844647</v>
      </c>
      <c r="X20" s="34">
        <v>0.32043653258763583</v>
      </c>
      <c r="Y20" s="34">
        <v>0.44416866227069879</v>
      </c>
      <c r="Z20" s="34">
        <v>0.36476249779731346</v>
      </c>
      <c r="AA20" s="34">
        <v>0.4312526808985428</v>
      </c>
      <c r="AB20" s="34">
        <v>0.41049106390128215</v>
      </c>
      <c r="AC20" s="34">
        <v>0.34678983938818975</v>
      </c>
      <c r="AD20" s="34">
        <v>0.23885272990326253</v>
      </c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</row>
    <row r="21" spans="1:167" ht="14.5" x14ac:dyDescent="0.35">
      <c r="A21" s="28" t="s">
        <v>66</v>
      </c>
      <c r="B21" s="33">
        <v>0.65252259897495368</v>
      </c>
      <c r="C21" s="34">
        <v>0.60583293239606195</v>
      </c>
      <c r="D21" s="34">
        <v>0.51526715264737921</v>
      </c>
      <c r="E21" s="34">
        <v>0.31128769169844589</v>
      </c>
      <c r="F21" s="34">
        <v>-8.3238068835718659E-2</v>
      </c>
      <c r="G21" s="34">
        <v>0.46416476987006861</v>
      </c>
      <c r="H21" s="34">
        <v>0.3445405368738072</v>
      </c>
      <c r="I21" s="34">
        <v>0.53409458135565269</v>
      </c>
      <c r="J21" s="34">
        <v>0.43197946974857548</v>
      </c>
      <c r="K21" s="34">
        <v>0.52784423440574013</v>
      </c>
      <c r="L21" s="34">
        <v>0.45058892566042774</v>
      </c>
      <c r="M21" s="34">
        <v>1</v>
      </c>
      <c r="N21" s="34">
        <v>0.68884023534133421</v>
      </c>
      <c r="O21" s="34">
        <v>0.27417295713717615</v>
      </c>
      <c r="P21" s="34">
        <v>0.34833893746563316</v>
      </c>
      <c r="Q21" s="34">
        <v>0.24459648890321628</v>
      </c>
      <c r="R21" s="34">
        <v>0.30075097218215119</v>
      </c>
      <c r="S21" s="34">
        <v>0.11972715703354918</v>
      </c>
      <c r="T21" s="34">
        <v>0.29101960268160254</v>
      </c>
      <c r="U21" s="34">
        <v>0.2673492892373186</v>
      </c>
      <c r="V21" s="34">
        <v>0.3055299853372565</v>
      </c>
      <c r="W21" s="34">
        <v>0.23713317248254262</v>
      </c>
      <c r="X21" s="34">
        <v>0.24987454878104434</v>
      </c>
      <c r="Y21" s="34">
        <v>0.3254449772452716</v>
      </c>
      <c r="Z21" s="34">
        <v>0.2981722933831808</v>
      </c>
      <c r="AA21" s="34">
        <v>0.31114130232398129</v>
      </c>
      <c r="AB21" s="34">
        <v>0.30799471683853313</v>
      </c>
      <c r="AC21" s="34">
        <v>0.24302204998725246</v>
      </c>
      <c r="AD21" s="34">
        <v>0.16566626621790298</v>
      </c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</row>
    <row r="22" spans="1:167" ht="14.5" x14ac:dyDescent="0.35">
      <c r="A22" s="28" t="s">
        <v>67</v>
      </c>
      <c r="B22" s="33">
        <v>0.79828952551695653</v>
      </c>
      <c r="C22" s="34">
        <v>0.67299693557554174</v>
      </c>
      <c r="D22" s="34">
        <v>0.48037924839618484</v>
      </c>
      <c r="E22" s="34">
        <v>0.27260111182998159</v>
      </c>
      <c r="F22" s="34">
        <v>-9.8693554576392492E-3</v>
      </c>
      <c r="G22" s="34">
        <v>0.40786020728906192</v>
      </c>
      <c r="H22" s="34">
        <v>0.43611252973950287</v>
      </c>
      <c r="I22" s="34">
        <v>0.42012347362954583</v>
      </c>
      <c r="J22" s="34">
        <v>0.48730372199322775</v>
      </c>
      <c r="K22" s="34">
        <v>0.4126810797810061</v>
      </c>
      <c r="L22" s="34">
        <v>0.49163335085260457</v>
      </c>
      <c r="M22" s="34">
        <v>0.68884023534133421</v>
      </c>
      <c r="N22" s="34">
        <v>1</v>
      </c>
      <c r="O22" s="34">
        <v>0.2750900792534785</v>
      </c>
      <c r="P22" s="34">
        <v>0.33004683417419034</v>
      </c>
      <c r="Q22" s="34">
        <v>0.25370499957296194</v>
      </c>
      <c r="R22" s="34">
        <v>0.27432654390411998</v>
      </c>
      <c r="S22" s="34">
        <v>0.14388550440202202</v>
      </c>
      <c r="T22" s="34">
        <v>0.28515105280455189</v>
      </c>
      <c r="U22" s="34">
        <v>0.29502367786830114</v>
      </c>
      <c r="V22" s="34">
        <v>0.27603230929764855</v>
      </c>
      <c r="W22" s="34">
        <v>0.24250926939538434</v>
      </c>
      <c r="X22" s="34">
        <v>0.24157376381047121</v>
      </c>
      <c r="Y22" s="34">
        <v>0.33806406486845381</v>
      </c>
      <c r="Z22" s="34">
        <v>0.25671331243306089</v>
      </c>
      <c r="AA22" s="34">
        <v>0.30209542942528206</v>
      </c>
      <c r="AB22" s="34">
        <v>0.29295054270299614</v>
      </c>
      <c r="AC22" s="34">
        <v>0.22362772834592448</v>
      </c>
      <c r="AD22" s="34">
        <v>0.17639035683457818</v>
      </c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</row>
    <row r="23" spans="1:167" ht="14.5" x14ac:dyDescent="0.35">
      <c r="A23" s="28" t="s">
        <v>76</v>
      </c>
      <c r="B23" s="33">
        <v>0.6213519057250565</v>
      </c>
      <c r="C23" s="34">
        <v>0.43359728061885727</v>
      </c>
      <c r="D23" s="34">
        <v>0.37063526809205161</v>
      </c>
      <c r="E23" s="34">
        <v>0.17465339453880888</v>
      </c>
      <c r="F23" s="34">
        <v>5.0958208170334612E-2</v>
      </c>
      <c r="G23" s="34">
        <v>0.41700401433134043</v>
      </c>
      <c r="H23" s="34">
        <v>0.41804232257587387</v>
      </c>
      <c r="I23" s="34">
        <v>0.29109677209460849</v>
      </c>
      <c r="J23" s="34">
        <v>0.28844408485786699</v>
      </c>
      <c r="K23" s="34">
        <v>0.39662083297204781</v>
      </c>
      <c r="L23" s="34">
        <v>0.40230910115083451</v>
      </c>
      <c r="M23" s="34">
        <v>0.27417295713717615</v>
      </c>
      <c r="N23" s="34">
        <v>0.2750900792534785</v>
      </c>
      <c r="O23" s="34">
        <v>1</v>
      </c>
      <c r="P23" s="34">
        <v>0.46998656369608888</v>
      </c>
      <c r="Q23" s="34">
        <v>0.44600234047611242</v>
      </c>
      <c r="R23" s="34">
        <v>0.46188856629132935</v>
      </c>
      <c r="S23" s="34">
        <v>0.40357534558231106</v>
      </c>
      <c r="T23" s="34">
        <v>0.36977419510243098</v>
      </c>
      <c r="U23" s="34">
        <v>0.4290577647956868</v>
      </c>
      <c r="V23" s="34">
        <v>0.43546989447490714</v>
      </c>
      <c r="W23" s="34">
        <v>0.40044631508475509</v>
      </c>
      <c r="X23" s="34">
        <v>0.47790250871194973</v>
      </c>
      <c r="Y23" s="34">
        <v>0.5302387691205237</v>
      </c>
      <c r="Z23" s="34">
        <v>0.54452459248564467</v>
      </c>
      <c r="AA23" s="34">
        <v>0.54200615927263507</v>
      </c>
      <c r="AB23" s="34">
        <v>0.68945173402641036</v>
      </c>
      <c r="AC23" s="34">
        <v>0.5081760373072528</v>
      </c>
      <c r="AD23" s="34">
        <v>0.37426034601768227</v>
      </c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</row>
    <row r="24" spans="1:167" ht="14.5" x14ac:dyDescent="0.35">
      <c r="A24" s="28" t="s">
        <v>77</v>
      </c>
      <c r="B24" s="33">
        <v>0.71206564927242577</v>
      </c>
      <c r="C24" s="34">
        <v>0.47941473490693987</v>
      </c>
      <c r="D24" s="34">
        <v>0.39982136919458661</v>
      </c>
      <c r="E24" s="34">
        <v>0.26389554176759866</v>
      </c>
      <c r="F24" s="34">
        <v>6.806678982313917E-2</v>
      </c>
      <c r="G24" s="34">
        <v>0.39393117161904517</v>
      </c>
      <c r="H24" s="34">
        <v>0.40906367047187009</v>
      </c>
      <c r="I24" s="34">
        <v>0.34517423144593279</v>
      </c>
      <c r="J24" s="34">
        <v>0.37567942104267077</v>
      </c>
      <c r="K24" s="34">
        <v>0.38394231244957172</v>
      </c>
      <c r="L24" s="34">
        <v>0.38447241414865774</v>
      </c>
      <c r="M24" s="34">
        <v>0.34833893746563316</v>
      </c>
      <c r="N24" s="34">
        <v>0.33004683417419034</v>
      </c>
      <c r="O24" s="34">
        <v>0.46998656369608888</v>
      </c>
      <c r="P24" s="34">
        <v>1</v>
      </c>
      <c r="Q24" s="34">
        <v>0.51075431859495957</v>
      </c>
      <c r="R24" s="34">
        <v>0.57190367285033128</v>
      </c>
      <c r="S24" s="34">
        <v>0.32294617391548708</v>
      </c>
      <c r="T24" s="34">
        <v>0.45337134713169069</v>
      </c>
      <c r="U24" s="34">
        <v>0.44990345711364105</v>
      </c>
      <c r="V24" s="34">
        <v>0.42440580638236314</v>
      </c>
      <c r="W24" s="34">
        <v>0.43106166296153581</v>
      </c>
      <c r="X24" s="34">
        <v>0.40166491665882703</v>
      </c>
      <c r="Y24" s="34">
        <v>0.54399391344916759</v>
      </c>
      <c r="Z24" s="34">
        <v>0.4583260846353443</v>
      </c>
      <c r="AA24" s="34">
        <v>0.50151758824112558</v>
      </c>
      <c r="AB24" s="34">
        <v>0.44899572237369945</v>
      </c>
      <c r="AC24" s="34">
        <v>0.40043424296802899</v>
      </c>
      <c r="AD24" s="34">
        <v>0.29521045620830005</v>
      </c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</row>
    <row r="25" spans="1:167" ht="14.5" x14ac:dyDescent="0.35">
      <c r="A25" s="28" t="s">
        <v>78</v>
      </c>
      <c r="B25" s="33">
        <v>0.65150174671230343</v>
      </c>
      <c r="C25" s="34">
        <v>0.42753570481546566</v>
      </c>
      <c r="D25" s="34">
        <v>0.3739680937259478</v>
      </c>
      <c r="E25" s="34">
        <v>0.19240794544123302</v>
      </c>
      <c r="F25" s="34">
        <v>0.10319541071472693</v>
      </c>
      <c r="G25" s="34">
        <v>0.39926877236310743</v>
      </c>
      <c r="H25" s="34">
        <v>0.39983264090829473</v>
      </c>
      <c r="I25" s="34">
        <v>0.27310876894392416</v>
      </c>
      <c r="J25" s="34">
        <v>0.28356457093394694</v>
      </c>
      <c r="K25" s="34">
        <v>0.37511460175268507</v>
      </c>
      <c r="L25" s="34">
        <v>0.36773145799791884</v>
      </c>
      <c r="M25" s="34">
        <v>0.24459648890321628</v>
      </c>
      <c r="N25" s="34">
        <v>0.25370499957296194</v>
      </c>
      <c r="O25" s="34">
        <v>0.44600234047611242</v>
      </c>
      <c r="P25" s="34">
        <v>0.51075431859495957</v>
      </c>
      <c r="Q25" s="34">
        <v>1</v>
      </c>
      <c r="R25" s="34">
        <v>0.53236420837362541</v>
      </c>
      <c r="S25" s="34">
        <v>0.3440974660161939</v>
      </c>
      <c r="T25" s="34">
        <v>0.38085193186613514</v>
      </c>
      <c r="U25" s="34">
        <v>0.42815513506002661</v>
      </c>
      <c r="V25" s="34">
        <v>0.45404655048955816</v>
      </c>
      <c r="W25" s="34">
        <v>0.38988224487449052</v>
      </c>
      <c r="X25" s="34">
        <v>0.41965490424322477</v>
      </c>
      <c r="Y25" s="34">
        <v>0.50615719973476458</v>
      </c>
      <c r="Z25" s="34">
        <v>0.41769909016916396</v>
      </c>
      <c r="AA25" s="34">
        <v>0.45634271301913537</v>
      </c>
      <c r="AB25" s="34">
        <v>0.46768754987976952</v>
      </c>
      <c r="AC25" s="34">
        <v>0.41504918845801231</v>
      </c>
      <c r="AD25" s="34">
        <v>0.32059563302761063</v>
      </c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</row>
    <row r="26" spans="1:167" ht="14.5" x14ac:dyDescent="0.35">
      <c r="A26" s="28" t="s">
        <v>79</v>
      </c>
      <c r="B26" s="33">
        <v>0.72501843052193071</v>
      </c>
      <c r="C26" s="34">
        <v>0.49057223070750883</v>
      </c>
      <c r="D26" s="34">
        <v>0.43959225288973947</v>
      </c>
      <c r="E26" s="34">
        <v>0.20013392809135749</v>
      </c>
      <c r="F26" s="34">
        <v>8.1670093574892869E-2</v>
      </c>
      <c r="G26" s="34">
        <v>0.4320902042160783</v>
      </c>
      <c r="H26" s="34">
        <v>0.49774534315175012</v>
      </c>
      <c r="I26" s="34">
        <v>0.32173136871028923</v>
      </c>
      <c r="J26" s="34">
        <v>0.31447002453977513</v>
      </c>
      <c r="K26" s="34">
        <v>0.43185881256205527</v>
      </c>
      <c r="L26" s="34">
        <v>0.42058104285503206</v>
      </c>
      <c r="M26" s="34">
        <v>0.30075097218215119</v>
      </c>
      <c r="N26" s="34">
        <v>0.27432654390411998</v>
      </c>
      <c r="O26" s="34">
        <v>0.46188856629132935</v>
      </c>
      <c r="P26" s="34">
        <v>0.57190367285033128</v>
      </c>
      <c r="Q26" s="34">
        <v>0.53236420837362541</v>
      </c>
      <c r="R26" s="34">
        <v>1</v>
      </c>
      <c r="S26" s="34">
        <v>0.28835397383437555</v>
      </c>
      <c r="T26" s="34">
        <v>0.45827471179003759</v>
      </c>
      <c r="U26" s="34">
        <v>0.49197250327240266</v>
      </c>
      <c r="V26" s="34">
        <v>0.41446057480452053</v>
      </c>
      <c r="W26" s="34">
        <v>0.43520713678873818</v>
      </c>
      <c r="X26" s="34">
        <v>0.40214851319362571</v>
      </c>
      <c r="Y26" s="34">
        <v>0.52920548515610477</v>
      </c>
      <c r="Z26" s="34">
        <v>0.45499161737937949</v>
      </c>
      <c r="AA26" s="34">
        <v>0.52294305035398303</v>
      </c>
      <c r="AB26" s="34">
        <v>0.47105057752949281</v>
      </c>
      <c r="AC26" s="34">
        <v>0.4009702934794146</v>
      </c>
      <c r="AD26" s="34">
        <v>0.28605210261735214</v>
      </c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</row>
    <row r="27" spans="1:167" ht="14.5" x14ac:dyDescent="0.35">
      <c r="A27" s="28" t="s">
        <v>80</v>
      </c>
      <c r="B27" s="33">
        <v>0.38715930800433951</v>
      </c>
      <c r="C27" s="34">
        <v>0.26049926832962012</v>
      </c>
      <c r="D27" s="34">
        <v>0.19823626713323619</v>
      </c>
      <c r="E27" s="34">
        <v>0.109172040337093</v>
      </c>
      <c r="F27" s="34">
        <v>5.9801914784380253E-2</v>
      </c>
      <c r="G27" s="34">
        <v>0.26627277681043948</v>
      </c>
      <c r="H27" s="34">
        <v>0.25232045266976377</v>
      </c>
      <c r="I27" s="34">
        <v>0.1794322408307569</v>
      </c>
      <c r="J27" s="34">
        <v>0.18387029936589497</v>
      </c>
      <c r="K27" s="34">
        <v>0.27473695647399987</v>
      </c>
      <c r="L27" s="34">
        <v>0.24816194199264865</v>
      </c>
      <c r="M27" s="34">
        <v>0.11972715703354918</v>
      </c>
      <c r="N27" s="34">
        <v>0.14388550440202202</v>
      </c>
      <c r="O27" s="34">
        <v>0.40357534558231106</v>
      </c>
      <c r="P27" s="34">
        <v>0.32294617391548708</v>
      </c>
      <c r="Q27" s="34">
        <v>0.3440974660161939</v>
      </c>
      <c r="R27" s="34">
        <v>0.28835397383437555</v>
      </c>
      <c r="S27" s="34">
        <v>1</v>
      </c>
      <c r="T27" s="34">
        <v>0.21912009991308767</v>
      </c>
      <c r="U27" s="34">
        <v>0.35213430485883557</v>
      </c>
      <c r="V27" s="34">
        <v>0.37520166758374662</v>
      </c>
      <c r="W27" s="34">
        <v>0.29400077225697996</v>
      </c>
      <c r="X27" s="34">
        <v>0.45212488171351189</v>
      </c>
      <c r="Y27" s="34">
        <v>0.29017383984053408</v>
      </c>
      <c r="Z27" s="34">
        <v>0.46349371783231286</v>
      </c>
      <c r="AA27" s="34">
        <v>0.41077460877755323</v>
      </c>
      <c r="AB27" s="34">
        <v>0.42381606823738882</v>
      </c>
      <c r="AC27" s="34">
        <v>0.52382179484027946</v>
      </c>
      <c r="AD27" s="34">
        <v>0.56192415567087961</v>
      </c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</row>
    <row r="28" spans="1:167" ht="14.5" x14ac:dyDescent="0.35">
      <c r="A28" s="28" t="s">
        <v>81</v>
      </c>
      <c r="B28" s="33">
        <v>0.80596334825519578</v>
      </c>
      <c r="C28" s="34">
        <v>0.34620110600888837</v>
      </c>
      <c r="D28" s="34">
        <v>0.28942181092201386</v>
      </c>
      <c r="E28" s="34">
        <v>0.13057991133570521</v>
      </c>
      <c r="F28" s="34">
        <v>6.4078650670354925E-2</v>
      </c>
      <c r="G28" s="34">
        <v>0.2264838856749857</v>
      </c>
      <c r="H28" s="34">
        <v>0.27004488271702792</v>
      </c>
      <c r="I28" s="34">
        <v>0.20999187928482307</v>
      </c>
      <c r="J28" s="34">
        <v>0.22978050138925638</v>
      </c>
      <c r="K28" s="34">
        <v>0.28823949632326523</v>
      </c>
      <c r="L28" s="34">
        <v>0.27534638314308829</v>
      </c>
      <c r="M28" s="34">
        <v>0.29101960268160254</v>
      </c>
      <c r="N28" s="34">
        <v>0.28515105280455189</v>
      </c>
      <c r="O28" s="34">
        <v>0.36977419510243098</v>
      </c>
      <c r="P28" s="34">
        <v>0.45337134713169069</v>
      </c>
      <c r="Q28" s="34">
        <v>0.38085193186613514</v>
      </c>
      <c r="R28" s="34">
        <v>0.45827471179003759</v>
      </c>
      <c r="S28" s="34">
        <v>0.21912009991308767</v>
      </c>
      <c r="T28" s="34">
        <v>1</v>
      </c>
      <c r="U28" s="34">
        <v>0.43998871275318707</v>
      </c>
      <c r="V28" s="34">
        <v>0.35130817654651947</v>
      </c>
      <c r="W28" s="34">
        <v>0.46749955235223717</v>
      </c>
      <c r="X28" s="34">
        <v>0.32172863324537626</v>
      </c>
      <c r="Y28" s="34">
        <v>0.46607992145851157</v>
      </c>
      <c r="Z28" s="34">
        <v>0.32475678847619144</v>
      </c>
      <c r="AA28" s="34">
        <v>0.39510805520373127</v>
      </c>
      <c r="AB28" s="34">
        <v>0.3655760505210216</v>
      </c>
      <c r="AC28" s="34">
        <v>0.26567625203858103</v>
      </c>
      <c r="AD28" s="34">
        <v>0.23775842390986554</v>
      </c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</row>
    <row r="29" spans="1:167" ht="14.5" x14ac:dyDescent="0.35">
      <c r="A29" s="28" t="s">
        <v>82</v>
      </c>
      <c r="B29" s="33">
        <v>0.71184537889231925</v>
      </c>
      <c r="C29" s="34">
        <v>0.4290225751300194</v>
      </c>
      <c r="D29" s="34">
        <v>0.32772546840664951</v>
      </c>
      <c r="E29" s="34">
        <v>0.16708996267288009</v>
      </c>
      <c r="F29" s="34">
        <v>0.10276661444947427</v>
      </c>
      <c r="G29" s="34">
        <v>0.35960265089636395</v>
      </c>
      <c r="H29" s="34">
        <v>0.38574721687308894</v>
      </c>
      <c r="I29" s="34">
        <v>0.25505180729528637</v>
      </c>
      <c r="J29" s="34">
        <v>0.29807321593214775</v>
      </c>
      <c r="K29" s="34">
        <v>0.3422120245993942</v>
      </c>
      <c r="L29" s="34">
        <v>0.38555929049225485</v>
      </c>
      <c r="M29" s="34">
        <v>0.2673492892373186</v>
      </c>
      <c r="N29" s="34">
        <v>0.29502367786830114</v>
      </c>
      <c r="O29" s="34">
        <v>0.4290577647956868</v>
      </c>
      <c r="P29" s="34">
        <v>0.44990345711364105</v>
      </c>
      <c r="Q29" s="34">
        <v>0.42815513506002661</v>
      </c>
      <c r="R29" s="34">
        <v>0.49197250327240266</v>
      </c>
      <c r="S29" s="34">
        <v>0.35213430485883557</v>
      </c>
      <c r="T29" s="34">
        <v>0.43998871275318707</v>
      </c>
      <c r="U29" s="34">
        <v>1</v>
      </c>
      <c r="V29" s="34">
        <v>0.42357147994480471</v>
      </c>
      <c r="W29" s="34">
        <v>0.44828209990318751</v>
      </c>
      <c r="X29" s="34">
        <v>0.40915743437335084</v>
      </c>
      <c r="Y29" s="34">
        <v>0.49558388481140525</v>
      </c>
      <c r="Z29" s="34">
        <v>0.44497075702053673</v>
      </c>
      <c r="AA29" s="34">
        <v>0.48440296972202962</v>
      </c>
      <c r="AB29" s="34">
        <v>0.46519252944153061</v>
      </c>
      <c r="AC29" s="34">
        <v>0.46032758230916487</v>
      </c>
      <c r="AD29" s="34">
        <v>0.3586323709305243</v>
      </c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</row>
    <row r="30" spans="1:167" ht="14.5" x14ac:dyDescent="0.35">
      <c r="A30" s="28" t="s">
        <v>83</v>
      </c>
      <c r="B30" s="33">
        <v>0.63536007617862478</v>
      </c>
      <c r="C30" s="34">
        <v>0.38382326140385409</v>
      </c>
      <c r="D30" s="34">
        <v>0.32926736432926246</v>
      </c>
      <c r="E30" s="34">
        <v>0.18855394223577979</v>
      </c>
      <c r="F30" s="34">
        <v>4.0131266625228666E-2</v>
      </c>
      <c r="G30" s="34">
        <v>0.35348851993328229</v>
      </c>
      <c r="H30" s="34">
        <v>0.33054410837923243</v>
      </c>
      <c r="I30" s="34">
        <v>0.26054895532755223</v>
      </c>
      <c r="J30" s="34">
        <v>0.25163318727493</v>
      </c>
      <c r="K30" s="34">
        <v>0.33443373465496656</v>
      </c>
      <c r="L30" s="34">
        <v>0.31512694867986246</v>
      </c>
      <c r="M30" s="34">
        <v>0.3055299853372565</v>
      </c>
      <c r="N30" s="34">
        <v>0.27603230929764855</v>
      </c>
      <c r="O30" s="34">
        <v>0.43546989447490714</v>
      </c>
      <c r="P30" s="34">
        <v>0.42440580638236314</v>
      </c>
      <c r="Q30" s="34">
        <v>0.45404655048955816</v>
      </c>
      <c r="R30" s="34">
        <v>0.41446057480452053</v>
      </c>
      <c r="S30" s="34">
        <v>0.37520166758374662</v>
      </c>
      <c r="T30" s="34">
        <v>0.35130817654651947</v>
      </c>
      <c r="U30" s="34">
        <v>0.42357147994480471</v>
      </c>
      <c r="V30" s="34">
        <v>1</v>
      </c>
      <c r="W30" s="34">
        <v>0.38495485538273189</v>
      </c>
      <c r="X30" s="34">
        <v>0.45805679905093172</v>
      </c>
      <c r="Y30" s="34">
        <v>0.46810246487375057</v>
      </c>
      <c r="Z30" s="34">
        <v>0.4659419459914953</v>
      </c>
      <c r="AA30" s="34">
        <v>0.48206838791891332</v>
      </c>
      <c r="AB30" s="34">
        <v>0.44040519639774095</v>
      </c>
      <c r="AC30" s="34">
        <v>0.4372806348756163</v>
      </c>
      <c r="AD30" s="34">
        <v>0.34446304232875319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</row>
    <row r="31" spans="1:167" ht="14.5" x14ac:dyDescent="0.35">
      <c r="A31" s="28" t="s">
        <v>84</v>
      </c>
      <c r="B31" s="33">
        <v>0.7294852515574729</v>
      </c>
      <c r="C31" s="34">
        <v>0.37148076810041158</v>
      </c>
      <c r="D31" s="34">
        <v>0.2724554057489218</v>
      </c>
      <c r="E31" s="34">
        <v>0.17337106391022597</v>
      </c>
      <c r="F31" s="34">
        <v>0.10377216700617016</v>
      </c>
      <c r="G31" s="34">
        <v>0.2746182325080988</v>
      </c>
      <c r="H31" s="34">
        <v>0.31700938648744242</v>
      </c>
      <c r="I31" s="34">
        <v>0.24502351455162497</v>
      </c>
      <c r="J31" s="34">
        <v>0.25894700170199447</v>
      </c>
      <c r="K31" s="34">
        <v>0.31231633453151542</v>
      </c>
      <c r="L31" s="34">
        <v>0.32995390655844647</v>
      </c>
      <c r="M31" s="34">
        <v>0.23713317248254262</v>
      </c>
      <c r="N31" s="34">
        <v>0.24250926939538434</v>
      </c>
      <c r="O31" s="34">
        <v>0.40044631508475509</v>
      </c>
      <c r="P31" s="34">
        <v>0.43106166296153581</v>
      </c>
      <c r="Q31" s="34">
        <v>0.38988224487449052</v>
      </c>
      <c r="R31" s="34">
        <v>0.43520713678873818</v>
      </c>
      <c r="S31" s="34">
        <v>0.29400077225697996</v>
      </c>
      <c r="T31" s="34">
        <v>0.46749955235223717</v>
      </c>
      <c r="U31" s="34">
        <v>0.44828209990318751</v>
      </c>
      <c r="V31" s="34">
        <v>0.38495485538273189</v>
      </c>
      <c r="W31" s="34">
        <v>1</v>
      </c>
      <c r="X31" s="34">
        <v>0.38780712890086572</v>
      </c>
      <c r="Y31" s="34">
        <v>0.48168188392121736</v>
      </c>
      <c r="Z31" s="34">
        <v>0.39690401873324221</v>
      </c>
      <c r="AA31" s="34">
        <v>0.43605758387235805</v>
      </c>
      <c r="AB31" s="34">
        <v>0.42442239537335702</v>
      </c>
      <c r="AC31" s="34">
        <v>0.36299567489696949</v>
      </c>
      <c r="AD31" s="34">
        <v>0.32259534777636623</v>
      </c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</row>
    <row r="32" spans="1:167" ht="14.5" x14ac:dyDescent="0.35">
      <c r="A32" s="28" t="s">
        <v>85</v>
      </c>
      <c r="B32" s="33">
        <v>0.53157851480245544</v>
      </c>
      <c r="C32" s="34">
        <v>0.38599192464802679</v>
      </c>
      <c r="D32" s="34">
        <v>0.28638757731087738</v>
      </c>
      <c r="E32" s="34">
        <v>0.19175767841473948</v>
      </c>
      <c r="F32" s="34">
        <v>3.9096989996502601E-2</v>
      </c>
      <c r="G32" s="34">
        <v>0.35451195000868557</v>
      </c>
      <c r="H32" s="34">
        <v>0.35585158220277174</v>
      </c>
      <c r="I32" s="34">
        <v>0.28025001964810575</v>
      </c>
      <c r="J32" s="34">
        <v>0.26662983946685825</v>
      </c>
      <c r="K32" s="34">
        <v>0.32400703264164182</v>
      </c>
      <c r="L32" s="34">
        <v>0.32043653258763583</v>
      </c>
      <c r="M32" s="34">
        <v>0.24987454878104434</v>
      </c>
      <c r="N32" s="34">
        <v>0.24157376381047121</v>
      </c>
      <c r="O32" s="34">
        <v>0.47790250871194973</v>
      </c>
      <c r="P32" s="34">
        <v>0.40166491665882703</v>
      </c>
      <c r="Q32" s="34">
        <v>0.41965490424322477</v>
      </c>
      <c r="R32" s="34">
        <v>0.40214851319362571</v>
      </c>
      <c r="S32" s="34">
        <v>0.45212488171351189</v>
      </c>
      <c r="T32" s="34">
        <v>0.32172863324537626</v>
      </c>
      <c r="U32" s="34">
        <v>0.40915743437335084</v>
      </c>
      <c r="V32" s="34">
        <v>0.45805679905093172</v>
      </c>
      <c r="W32" s="34">
        <v>0.38780712890086572</v>
      </c>
      <c r="X32" s="34">
        <v>1</v>
      </c>
      <c r="Y32" s="34">
        <v>0.45188418849862988</v>
      </c>
      <c r="Z32" s="34">
        <v>0.52610392744781165</v>
      </c>
      <c r="AA32" s="34">
        <v>0.49538767429570657</v>
      </c>
      <c r="AB32" s="34">
        <v>0.49392299524017103</v>
      </c>
      <c r="AC32" s="34">
        <v>0.54160961520126372</v>
      </c>
      <c r="AD32" s="34">
        <v>0.43908390808308473</v>
      </c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</row>
    <row r="33" spans="1:167" ht="14.5" x14ac:dyDescent="0.35">
      <c r="A33" s="28" t="s">
        <v>86</v>
      </c>
      <c r="B33" s="33">
        <v>0.72773263161885504</v>
      </c>
      <c r="C33" s="34">
        <v>0.50568276531027434</v>
      </c>
      <c r="D33" s="34">
        <v>0.40730192750185701</v>
      </c>
      <c r="E33" s="34">
        <v>0.18982976918170433</v>
      </c>
      <c r="F33" s="34">
        <v>0.12208185126134001</v>
      </c>
      <c r="G33" s="34">
        <v>0.39857481480031126</v>
      </c>
      <c r="H33" s="34">
        <v>0.47373838462934731</v>
      </c>
      <c r="I33" s="34">
        <v>0.29037903717229674</v>
      </c>
      <c r="J33" s="34">
        <v>0.31844190896720753</v>
      </c>
      <c r="K33" s="34">
        <v>0.41327751770385279</v>
      </c>
      <c r="L33" s="34">
        <v>0.44416866227069879</v>
      </c>
      <c r="M33" s="34">
        <v>0.3254449772452716</v>
      </c>
      <c r="N33" s="34">
        <v>0.33806406486845381</v>
      </c>
      <c r="O33" s="34">
        <v>0.5302387691205237</v>
      </c>
      <c r="P33" s="34">
        <v>0.54399391344916759</v>
      </c>
      <c r="Q33" s="34">
        <v>0.50615719973476458</v>
      </c>
      <c r="R33" s="34">
        <v>0.52920548515610477</v>
      </c>
      <c r="S33" s="34">
        <v>0.29017383984053408</v>
      </c>
      <c r="T33" s="34">
        <v>0.46607992145851157</v>
      </c>
      <c r="U33" s="34">
        <v>0.49558388481140525</v>
      </c>
      <c r="V33" s="34">
        <v>0.46810246487375057</v>
      </c>
      <c r="W33" s="34">
        <v>0.48168188392121736</v>
      </c>
      <c r="X33" s="34">
        <v>0.45188418849862988</v>
      </c>
      <c r="Y33" s="34">
        <v>1</v>
      </c>
      <c r="Z33" s="34">
        <v>0.49100902976090971</v>
      </c>
      <c r="AA33" s="34">
        <v>0.56794457977150237</v>
      </c>
      <c r="AB33" s="34">
        <v>0.52667515357062133</v>
      </c>
      <c r="AC33" s="34">
        <v>0.44439556416710124</v>
      </c>
      <c r="AD33" s="34">
        <v>0.31220564013286201</v>
      </c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</row>
    <row r="34" spans="1:167" ht="14.5" x14ac:dyDescent="0.35">
      <c r="A34" s="28" t="s">
        <v>87</v>
      </c>
      <c r="B34" s="33">
        <v>0.57742585009565173</v>
      </c>
      <c r="C34" s="34">
        <v>0.4222053988492227</v>
      </c>
      <c r="D34" s="34">
        <v>0.32773956833839535</v>
      </c>
      <c r="E34" s="34">
        <v>0.20580704748242593</v>
      </c>
      <c r="F34" s="34">
        <v>5.6026529978770258E-2</v>
      </c>
      <c r="G34" s="34">
        <v>0.41323706672384114</v>
      </c>
      <c r="H34" s="34">
        <v>0.38036317709623502</v>
      </c>
      <c r="I34" s="34">
        <v>0.33134564987701276</v>
      </c>
      <c r="J34" s="34">
        <v>0.28731462410294417</v>
      </c>
      <c r="K34" s="34">
        <v>0.3866590961158986</v>
      </c>
      <c r="L34" s="34">
        <v>0.36476249779731346</v>
      </c>
      <c r="M34" s="34">
        <v>0.2981722933831808</v>
      </c>
      <c r="N34" s="34">
        <v>0.25671331243306089</v>
      </c>
      <c r="O34" s="34">
        <v>0.54452459248564467</v>
      </c>
      <c r="P34" s="34">
        <v>0.4583260846353443</v>
      </c>
      <c r="Q34" s="34">
        <v>0.41769909016916396</v>
      </c>
      <c r="R34" s="34">
        <v>0.45499161737937949</v>
      </c>
      <c r="S34" s="34">
        <v>0.46349371783231286</v>
      </c>
      <c r="T34" s="34">
        <v>0.32475678847619144</v>
      </c>
      <c r="U34" s="34">
        <v>0.44497075702053673</v>
      </c>
      <c r="V34" s="34">
        <v>0.4659419459914953</v>
      </c>
      <c r="W34" s="34">
        <v>0.39690401873324221</v>
      </c>
      <c r="X34" s="34">
        <v>0.52610392744781165</v>
      </c>
      <c r="Y34" s="34">
        <v>0.49100902976090971</v>
      </c>
      <c r="Z34" s="34">
        <v>1</v>
      </c>
      <c r="AA34" s="34">
        <v>0.55185190001495821</v>
      </c>
      <c r="AB34" s="34">
        <v>0.53739309946422242</v>
      </c>
      <c r="AC34" s="34">
        <v>0.58388366522093815</v>
      </c>
      <c r="AD34" s="34">
        <v>0.44926736351983687</v>
      </c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</row>
    <row r="35" spans="1:167" ht="14.5" x14ac:dyDescent="0.35">
      <c r="A35" s="28" t="s">
        <v>88</v>
      </c>
      <c r="B35" s="33">
        <v>0.64879228470696415</v>
      </c>
      <c r="C35" s="34">
        <v>0.46728797874563888</v>
      </c>
      <c r="D35" s="34">
        <v>0.40060104028333515</v>
      </c>
      <c r="E35" s="34">
        <v>0.1648844021044002</v>
      </c>
      <c r="F35" s="34">
        <v>6.7618081130227534E-2</v>
      </c>
      <c r="G35" s="34">
        <v>0.44218344002643689</v>
      </c>
      <c r="H35" s="34">
        <v>0.44673745093618411</v>
      </c>
      <c r="I35" s="34">
        <v>0.28658552600018655</v>
      </c>
      <c r="J35" s="34">
        <v>0.29887444766132881</v>
      </c>
      <c r="K35" s="34">
        <v>0.42428079719884182</v>
      </c>
      <c r="L35" s="34">
        <v>0.4312526808985428</v>
      </c>
      <c r="M35" s="34">
        <v>0.31114130232398129</v>
      </c>
      <c r="N35" s="34">
        <v>0.30209542942528206</v>
      </c>
      <c r="O35" s="34">
        <v>0.54200615927263507</v>
      </c>
      <c r="P35" s="34">
        <v>0.50151758824112558</v>
      </c>
      <c r="Q35" s="34">
        <v>0.45634271301913537</v>
      </c>
      <c r="R35" s="34">
        <v>0.52294305035398303</v>
      </c>
      <c r="S35" s="34">
        <v>0.41077460877755323</v>
      </c>
      <c r="T35" s="34">
        <v>0.39510805520373127</v>
      </c>
      <c r="U35" s="34">
        <v>0.48440296972202962</v>
      </c>
      <c r="V35" s="34">
        <v>0.48206838791891332</v>
      </c>
      <c r="W35" s="34">
        <v>0.43605758387235805</v>
      </c>
      <c r="X35" s="34">
        <v>0.49538767429570657</v>
      </c>
      <c r="Y35" s="34">
        <v>0.56794457977150237</v>
      </c>
      <c r="Z35" s="34">
        <v>0.55185190001495821</v>
      </c>
      <c r="AA35" s="34">
        <v>1</v>
      </c>
      <c r="AB35" s="34">
        <v>0.56404630708889347</v>
      </c>
      <c r="AC35" s="34">
        <v>0.51466763854148678</v>
      </c>
      <c r="AD35" s="34">
        <v>0.38350006412948323</v>
      </c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</row>
    <row r="36" spans="1:167" ht="14.5" x14ac:dyDescent="0.35">
      <c r="A36" s="28" t="s">
        <v>89</v>
      </c>
      <c r="B36" s="33">
        <v>0.62785387446055507</v>
      </c>
      <c r="C36" s="34">
        <v>0.45422282613571874</v>
      </c>
      <c r="D36" s="34">
        <v>0.38011617684845378</v>
      </c>
      <c r="E36" s="34">
        <v>0.1851896008951775</v>
      </c>
      <c r="F36" s="34">
        <v>3.4493992382473242E-2</v>
      </c>
      <c r="G36" s="34">
        <v>0.43079329686580692</v>
      </c>
      <c r="H36" s="34">
        <v>0.44081924069825074</v>
      </c>
      <c r="I36" s="34">
        <v>0.30312449702147565</v>
      </c>
      <c r="J36" s="34">
        <v>0.30592125559272915</v>
      </c>
      <c r="K36" s="34">
        <v>0.41855597881834972</v>
      </c>
      <c r="L36" s="34">
        <v>0.41049106390128215</v>
      </c>
      <c r="M36" s="34">
        <v>0.30799471683853313</v>
      </c>
      <c r="N36" s="34">
        <v>0.29295054270299614</v>
      </c>
      <c r="O36" s="34">
        <v>0.68945173402641036</v>
      </c>
      <c r="P36" s="34">
        <v>0.44899572237369945</v>
      </c>
      <c r="Q36" s="34">
        <v>0.46768754987976952</v>
      </c>
      <c r="R36" s="34">
        <v>0.47105057752949281</v>
      </c>
      <c r="S36" s="34">
        <v>0.42381606823738882</v>
      </c>
      <c r="T36" s="34">
        <v>0.3655760505210216</v>
      </c>
      <c r="U36" s="34">
        <v>0.46519252944153061</v>
      </c>
      <c r="V36" s="34">
        <v>0.44040519639774095</v>
      </c>
      <c r="W36" s="34">
        <v>0.42442239537335702</v>
      </c>
      <c r="X36" s="34">
        <v>0.49392299524017103</v>
      </c>
      <c r="Y36" s="34">
        <v>0.52667515357062133</v>
      </c>
      <c r="Z36" s="34">
        <v>0.53739309946422242</v>
      </c>
      <c r="AA36" s="34">
        <v>0.56404630708889347</v>
      </c>
      <c r="AB36" s="34">
        <v>1</v>
      </c>
      <c r="AC36" s="34">
        <v>0.5339468533945535</v>
      </c>
      <c r="AD36" s="34">
        <v>0.43276599142014061</v>
      </c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</row>
    <row r="37" spans="1:167" ht="14.5" x14ac:dyDescent="0.35">
      <c r="A37" s="28" t="s">
        <v>90</v>
      </c>
      <c r="B37" s="33">
        <v>0.52078429239130453</v>
      </c>
      <c r="C37" s="34">
        <v>0.38495888897841152</v>
      </c>
      <c r="D37" s="34">
        <v>0.30250588178206295</v>
      </c>
      <c r="E37" s="34">
        <v>0.17009287029662049</v>
      </c>
      <c r="F37" s="34">
        <v>8.1668366492824135E-2</v>
      </c>
      <c r="G37" s="34">
        <v>0.39117489273790268</v>
      </c>
      <c r="H37" s="34">
        <v>0.36805056543537057</v>
      </c>
      <c r="I37" s="34">
        <v>0.27489322188837123</v>
      </c>
      <c r="J37" s="34">
        <v>0.25383870642917844</v>
      </c>
      <c r="K37" s="34">
        <v>0.35811249088375569</v>
      </c>
      <c r="L37" s="34">
        <v>0.34678983938818975</v>
      </c>
      <c r="M37" s="34">
        <v>0.24302204998725246</v>
      </c>
      <c r="N37" s="34">
        <v>0.22362772834592448</v>
      </c>
      <c r="O37" s="34">
        <v>0.5081760373072528</v>
      </c>
      <c r="P37" s="34">
        <v>0.40043424296802899</v>
      </c>
      <c r="Q37" s="34">
        <v>0.41504918845801231</v>
      </c>
      <c r="R37" s="34">
        <v>0.4009702934794146</v>
      </c>
      <c r="S37" s="34">
        <v>0.52382179484027946</v>
      </c>
      <c r="T37" s="34">
        <v>0.26567625203858103</v>
      </c>
      <c r="U37" s="34">
        <v>0.46032758230916487</v>
      </c>
      <c r="V37" s="34">
        <v>0.4372806348756163</v>
      </c>
      <c r="W37" s="34">
        <v>0.36299567489696949</v>
      </c>
      <c r="X37" s="34">
        <v>0.54160961520126372</v>
      </c>
      <c r="Y37" s="34">
        <v>0.44439556416710124</v>
      </c>
      <c r="Z37" s="34">
        <v>0.58388366522093815</v>
      </c>
      <c r="AA37" s="34">
        <v>0.51466763854148678</v>
      </c>
      <c r="AB37" s="34">
        <v>0.5339468533945535</v>
      </c>
      <c r="AC37" s="34">
        <v>1</v>
      </c>
      <c r="AD37" s="34">
        <v>0.50676265632168982</v>
      </c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</row>
    <row r="38" spans="1:167" ht="14.5" x14ac:dyDescent="0.35">
      <c r="A38" s="28" t="s">
        <v>91</v>
      </c>
      <c r="B38" s="33">
        <v>0.44361753427531853</v>
      </c>
      <c r="C38" s="34">
        <v>0.28062206053840355</v>
      </c>
      <c r="D38" s="34">
        <v>0.17326095073839179</v>
      </c>
      <c r="E38" s="34">
        <v>0.13306348008534563</v>
      </c>
      <c r="F38" s="34">
        <v>4.0001000351283941E-2</v>
      </c>
      <c r="G38" s="34">
        <v>0.26270176730426043</v>
      </c>
      <c r="H38" s="34">
        <v>0.25250169708212167</v>
      </c>
      <c r="I38" s="34">
        <v>0.20483777623612845</v>
      </c>
      <c r="J38" s="34">
        <v>0.1985155878576767</v>
      </c>
      <c r="K38" s="34">
        <v>0.26959546440597454</v>
      </c>
      <c r="L38" s="34">
        <v>0.23885272990326253</v>
      </c>
      <c r="M38" s="34">
        <v>0.16566626621790298</v>
      </c>
      <c r="N38" s="34">
        <v>0.17639035683457818</v>
      </c>
      <c r="O38" s="34">
        <v>0.37426034601768227</v>
      </c>
      <c r="P38" s="34">
        <v>0.29521045620830005</v>
      </c>
      <c r="Q38" s="34">
        <v>0.32059563302761063</v>
      </c>
      <c r="R38" s="34">
        <v>0.28605210261735214</v>
      </c>
      <c r="S38" s="34">
        <v>0.56192415567087961</v>
      </c>
      <c r="T38" s="34">
        <v>0.23775842390986554</v>
      </c>
      <c r="U38" s="34">
        <v>0.3586323709305243</v>
      </c>
      <c r="V38" s="34">
        <v>0.34446304232875319</v>
      </c>
      <c r="W38" s="34">
        <v>0.32259534777636623</v>
      </c>
      <c r="X38" s="34">
        <v>0.43908390808308473</v>
      </c>
      <c r="Y38" s="34">
        <v>0.31220564013286201</v>
      </c>
      <c r="Z38" s="34">
        <v>0.44926736351983687</v>
      </c>
      <c r="AA38" s="34">
        <v>0.38350006412948323</v>
      </c>
      <c r="AB38" s="34">
        <v>0.43276599142014061</v>
      </c>
      <c r="AC38" s="34">
        <v>0.50676265632168982</v>
      </c>
      <c r="AD38" s="34">
        <v>1</v>
      </c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</row>
    <row r="39" spans="1:167" ht="14.5" x14ac:dyDescent="0.35">
      <c r="B39" s="33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</row>
    <row r="40" spans="1:167" ht="14.5" x14ac:dyDescent="0.35">
      <c r="B40" s="33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</row>
    <row r="41" spans="1:167" ht="14.5" x14ac:dyDescent="0.35">
      <c r="B41" s="33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</row>
    <row r="42" spans="1:167" ht="14.5" x14ac:dyDescent="0.35">
      <c r="B42" s="33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</row>
    <row r="43" spans="1:167" ht="14.5" x14ac:dyDescent="0.35">
      <c r="B43" s="33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</row>
    <row r="44" spans="1:167" ht="14.5" x14ac:dyDescent="0.35">
      <c r="B44" s="33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</row>
    <row r="45" spans="1:167" ht="14.5" x14ac:dyDescent="0.35">
      <c r="B45" s="33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</row>
    <row r="46" spans="1:167" ht="14.5" x14ac:dyDescent="0.35">
      <c r="B46" s="33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</row>
    <row r="47" spans="1:167" ht="14.5" x14ac:dyDescent="0.35">
      <c r="B47" s="33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</row>
    <row r="48" spans="1:167" ht="14.5" x14ac:dyDescent="0.35">
      <c r="B48" s="33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</row>
    <row r="49" spans="1:167" ht="14.5" x14ac:dyDescent="0.35">
      <c r="B49" s="33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</row>
    <row r="50" spans="1:167" ht="14.5" x14ac:dyDescent="0.35">
      <c r="B50" s="33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</row>
    <row r="51" spans="1:167" ht="14.5" x14ac:dyDescent="0.35">
      <c r="B51" s="33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</row>
    <row r="52" spans="1:167" ht="14.5" x14ac:dyDescent="0.35">
      <c r="B52" s="33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</row>
    <row r="53" spans="1:167" ht="14.5" x14ac:dyDescent="0.35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</row>
    <row r="54" spans="1:167" ht="14.5" x14ac:dyDescent="0.35">
      <c r="B54" s="33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</row>
    <row r="55" spans="1:167" ht="14.5" x14ac:dyDescent="0.35">
      <c r="A55" s="33"/>
      <c r="B55" s="33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</row>
    <row r="56" spans="1:167" ht="14.5" x14ac:dyDescent="0.35">
      <c r="A56" s="33"/>
      <c r="B56" s="33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</row>
    <row r="57" spans="1:167" ht="14.5" x14ac:dyDescent="0.35">
      <c r="A57" s="33"/>
      <c r="B57" s="33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</row>
    <row r="58" spans="1:167" ht="14.5" x14ac:dyDescent="0.35">
      <c r="A58" s="33"/>
      <c r="B58" s="3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</row>
    <row r="59" spans="1:167" ht="14.5" x14ac:dyDescent="0.35">
      <c r="A59" s="33"/>
      <c r="B59" s="3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</row>
    <row r="60" spans="1:167" ht="14.5" x14ac:dyDescent="0.35">
      <c r="A60" s="33"/>
      <c r="B60" s="3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</row>
    <row r="61" spans="1:167" ht="14.5" x14ac:dyDescent="0.35">
      <c r="A61" s="33"/>
      <c r="B61" s="33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</row>
    <row r="62" spans="1:167" ht="14.5" x14ac:dyDescent="0.35">
      <c r="A62" s="33"/>
      <c r="B62" s="33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</row>
    <row r="63" spans="1:167" ht="14.5" x14ac:dyDescent="0.35">
      <c r="A63" s="33"/>
      <c r="B63" s="3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</row>
    <row r="64" spans="1:167" ht="14.5" x14ac:dyDescent="0.35">
      <c r="A64" s="33"/>
      <c r="B64" s="33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</row>
    <row r="65" spans="2:167" ht="14.5" x14ac:dyDescent="0.35">
      <c r="B65" s="33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</row>
    <row r="66" spans="2:167" ht="14.5" x14ac:dyDescent="0.35">
      <c r="B66" s="33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</row>
    <row r="67" spans="2:167" ht="14.5" x14ac:dyDescent="0.35">
      <c r="B67" s="33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</row>
    <row r="68" spans="2:167" ht="14.5" x14ac:dyDescent="0.35">
      <c r="B68" s="33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</row>
    <row r="69" spans="2:167" ht="14.5" x14ac:dyDescent="0.35">
      <c r="B69" s="33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</row>
    <row r="70" spans="2:167" ht="14.5" x14ac:dyDescent="0.35">
      <c r="B70" s="33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</row>
    <row r="71" spans="2:167" ht="14.5" x14ac:dyDescent="0.35">
      <c r="B71" s="33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</row>
    <row r="72" spans="2:167" ht="14.5" x14ac:dyDescent="0.35">
      <c r="B72" s="33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</row>
    <row r="73" spans="2:167" ht="14.5" x14ac:dyDescent="0.35">
      <c r="B73" s="33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</row>
    <row r="74" spans="2:167" ht="14.5" x14ac:dyDescent="0.35">
      <c r="B74" s="33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</row>
    <row r="75" spans="2:167" ht="14.5" x14ac:dyDescent="0.35">
      <c r="B75" s="33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</row>
    <row r="76" spans="2:167" ht="14.5" x14ac:dyDescent="0.35">
      <c r="B76" s="33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</row>
    <row r="77" spans="2:167" ht="14.5" x14ac:dyDescent="0.35">
      <c r="B77" s="33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</row>
    <row r="78" spans="2:167" ht="14.5" x14ac:dyDescent="0.35">
      <c r="B78" s="33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</row>
    <row r="79" spans="2:167" ht="14.5" x14ac:dyDescent="0.35">
      <c r="B79" s="33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</row>
    <row r="80" spans="2:167" ht="14.5" x14ac:dyDescent="0.35">
      <c r="B80" s="33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</row>
    <row r="81" spans="2:167" ht="14.5" x14ac:dyDescent="0.35">
      <c r="B81" s="33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</row>
    <row r="82" spans="2:167" ht="14.5" x14ac:dyDescent="0.35">
      <c r="B82" s="33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</row>
    <row r="83" spans="2:167" ht="14.5" x14ac:dyDescent="0.35">
      <c r="B83" s="33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</row>
    <row r="84" spans="2:167" ht="14.5" x14ac:dyDescent="0.35">
      <c r="B84" s="33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</row>
    <row r="85" spans="2:167" ht="14.5" x14ac:dyDescent="0.35">
      <c r="B85" s="33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</row>
    <row r="86" spans="2:167" ht="14.5" x14ac:dyDescent="0.35">
      <c r="B86" s="33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</row>
    <row r="87" spans="2:167" ht="14.5" x14ac:dyDescent="0.35">
      <c r="B87" s="33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</row>
    <row r="88" spans="2:167" ht="14.5" x14ac:dyDescent="0.35">
      <c r="B88" s="33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</row>
    <row r="89" spans="2:167" ht="14.5" x14ac:dyDescent="0.35">
      <c r="B89" s="33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</row>
    <row r="90" spans="2:167" ht="14.5" x14ac:dyDescent="0.35">
      <c r="B90" s="33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</row>
    <row r="91" spans="2:167" ht="14.5" x14ac:dyDescent="0.35">
      <c r="B91" s="33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</row>
    <row r="92" spans="2:167" ht="14.5" x14ac:dyDescent="0.35">
      <c r="B92" s="33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</row>
    <row r="93" spans="2:167" ht="14.5" x14ac:dyDescent="0.35">
      <c r="B93" s="33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</row>
    <row r="94" spans="2:167" ht="14.5" x14ac:dyDescent="0.35">
      <c r="B94" s="33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</row>
    <row r="95" spans="2:167" ht="14.5" x14ac:dyDescent="0.35">
      <c r="B95" s="33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</row>
    <row r="96" spans="2:167" ht="14.5" x14ac:dyDescent="0.35">
      <c r="B96" s="3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</row>
    <row r="97" spans="2:167" ht="14.5" x14ac:dyDescent="0.35">
      <c r="B97" s="33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</row>
    <row r="98" spans="2:167" ht="14.5" x14ac:dyDescent="0.35">
      <c r="B98" s="33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</row>
    <row r="99" spans="2:167" ht="14.5" x14ac:dyDescent="0.35">
      <c r="B99" s="33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</row>
    <row r="100" spans="2:167" ht="14.5" x14ac:dyDescent="0.35">
      <c r="B100" s="33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</row>
    <row r="101" spans="2:167" ht="14.5" x14ac:dyDescent="0.35">
      <c r="B101" s="33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</row>
    <row r="102" spans="2:167" ht="14.5" x14ac:dyDescent="0.35">
      <c r="B102" s="33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</row>
    <row r="103" spans="2:167" ht="14.5" x14ac:dyDescent="0.35">
      <c r="B103" s="33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</row>
    <row r="104" spans="2:167" ht="14.5" x14ac:dyDescent="0.35">
      <c r="B104" s="33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</row>
    <row r="105" spans="2:167" ht="14.5" x14ac:dyDescent="0.35">
      <c r="B105" s="33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</row>
    <row r="106" spans="2:167" ht="14.5" x14ac:dyDescent="0.35">
      <c r="B106" s="33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</row>
    <row r="107" spans="2:167" ht="14.5" x14ac:dyDescent="0.35">
      <c r="B107" s="33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</row>
    <row r="108" spans="2:167" ht="14.5" x14ac:dyDescent="0.35">
      <c r="B108" s="33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</row>
    <row r="109" spans="2:167" ht="14.5" x14ac:dyDescent="0.35">
      <c r="B109" s="33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</row>
    <row r="110" spans="2:167" ht="14.5" x14ac:dyDescent="0.35">
      <c r="B110" s="33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</row>
    <row r="111" spans="2:167" ht="14.5" x14ac:dyDescent="0.35">
      <c r="B111" s="33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</row>
    <row r="112" spans="2:167" ht="14.5" x14ac:dyDescent="0.35">
      <c r="B112" s="33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</row>
    <row r="113" spans="2:167" ht="14.5" x14ac:dyDescent="0.35">
      <c r="B113" s="33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</row>
    <row r="114" spans="2:167" ht="14.5" x14ac:dyDescent="0.35">
      <c r="B114" s="33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</row>
    <row r="115" spans="2:167" ht="14.5" x14ac:dyDescent="0.35">
      <c r="B115" s="33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</row>
    <row r="116" spans="2:167" ht="14.5" x14ac:dyDescent="0.35">
      <c r="B116" s="33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</row>
    <row r="117" spans="2:167" ht="14.5" x14ac:dyDescent="0.35">
      <c r="B117" s="33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</row>
    <row r="118" spans="2:167" ht="14.5" x14ac:dyDescent="0.35">
      <c r="B118" s="33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</row>
    <row r="119" spans="2:167" ht="14.5" x14ac:dyDescent="0.35">
      <c r="B119" s="33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</row>
    <row r="120" spans="2:167" ht="14.5" x14ac:dyDescent="0.35">
      <c r="B120" s="33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</row>
    <row r="121" spans="2:167" ht="14.5" x14ac:dyDescent="0.35">
      <c r="B121" s="33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</row>
    <row r="122" spans="2:167" ht="14.5" x14ac:dyDescent="0.35">
      <c r="B122" s="33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</row>
    <row r="123" spans="2:167" ht="14.5" x14ac:dyDescent="0.35">
      <c r="B123" s="33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</row>
    <row r="124" spans="2:167" ht="14.5" x14ac:dyDescent="0.35">
      <c r="B124" s="33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</row>
    <row r="125" spans="2:167" ht="14.5" x14ac:dyDescent="0.35">
      <c r="B125" s="33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</row>
    <row r="126" spans="2:167" ht="14.5" x14ac:dyDescent="0.35">
      <c r="B126" s="33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</row>
    <row r="127" spans="2:167" ht="14.5" x14ac:dyDescent="0.35">
      <c r="B127" s="33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</row>
    <row r="128" spans="2:167" ht="14.5" x14ac:dyDescent="0.35">
      <c r="B128" s="33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</row>
    <row r="129" spans="2:167" ht="14.5" x14ac:dyDescent="0.35">
      <c r="B129" s="33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</row>
    <row r="130" spans="2:167" ht="14.5" x14ac:dyDescent="0.35">
      <c r="B130" s="33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</row>
    <row r="131" spans="2:167" ht="14.5" x14ac:dyDescent="0.35">
      <c r="B131" s="33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</row>
    <row r="132" spans="2:167" ht="14.5" x14ac:dyDescent="0.35">
      <c r="B132" s="33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</row>
    <row r="133" spans="2:167" ht="14.5" x14ac:dyDescent="0.35">
      <c r="B133" s="33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</row>
    <row r="134" spans="2:167" ht="14.5" x14ac:dyDescent="0.35">
      <c r="B134" s="33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</row>
    <row r="135" spans="2:167" ht="14.5" x14ac:dyDescent="0.35">
      <c r="B135" s="33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</row>
    <row r="136" spans="2:167" ht="14.5" x14ac:dyDescent="0.35">
      <c r="B136" s="33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</row>
    <row r="137" spans="2:167" ht="14.5" x14ac:dyDescent="0.35">
      <c r="B137" s="33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</row>
    <row r="138" spans="2:167" ht="14.5" x14ac:dyDescent="0.35">
      <c r="B138" s="33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</row>
    <row r="139" spans="2:167" ht="14.5" x14ac:dyDescent="0.35">
      <c r="B139" s="33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</row>
    <row r="140" spans="2:167" ht="14.5" x14ac:dyDescent="0.35">
      <c r="B140" s="33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</row>
    <row r="141" spans="2:167" ht="14.5" x14ac:dyDescent="0.35">
      <c r="B141" s="33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</row>
    <row r="142" spans="2:167" ht="14.5" x14ac:dyDescent="0.35">
      <c r="B142" s="33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</row>
    <row r="143" spans="2:167" ht="14.5" x14ac:dyDescent="0.35">
      <c r="B143" s="33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</row>
    <row r="144" spans="2:167" ht="14.5" x14ac:dyDescent="0.35">
      <c r="B144" s="33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</row>
    <row r="145" spans="2:167" ht="14.5" x14ac:dyDescent="0.35">
      <c r="B145" s="33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</row>
    <row r="146" spans="2:167" ht="14.5" x14ac:dyDescent="0.35">
      <c r="B146" s="33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</row>
    <row r="147" spans="2:167" ht="14.5" x14ac:dyDescent="0.35">
      <c r="B147" s="33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</row>
    <row r="148" spans="2:167" ht="14.5" x14ac:dyDescent="0.35">
      <c r="B148" s="33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</row>
    <row r="149" spans="2:167" ht="14.5" x14ac:dyDescent="0.35">
      <c r="B149" s="33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</row>
    <row r="150" spans="2:167" ht="14.5" x14ac:dyDescent="0.35">
      <c r="B150" s="33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</row>
    <row r="151" spans="2:167" ht="14.5" x14ac:dyDescent="0.35">
      <c r="B151" s="33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</row>
    <row r="152" spans="2:167" ht="14.5" x14ac:dyDescent="0.35">
      <c r="B152" s="33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</row>
  </sheetData>
  <conditionalFormatting sqref="C52:F143 D11:F51 AR11:AT108 G11:AQ152 AU11:FK152 E144:E152">
    <cfRule type="expression" dxfId="41" priority="17" stopIfTrue="1">
      <formula>IF(C11=1,1,0)</formula>
    </cfRule>
    <cfRule type="expression" dxfId="40" priority="18" stopIfTrue="1">
      <formula>IF(C11&gt;$B$8,1,0)</formula>
    </cfRule>
  </conditionalFormatting>
  <conditionalFormatting sqref="A65:A143">
    <cfRule type="expression" dxfId="39" priority="16" stopIfTrue="1">
      <formula>IF(B65&lt;0.1,1,0)</formula>
    </cfRule>
  </conditionalFormatting>
  <conditionalFormatting sqref="C144:C152">
    <cfRule type="expression" dxfId="38" priority="14" stopIfTrue="1">
      <formula>IF(C144=1,1,0)</formula>
    </cfRule>
    <cfRule type="expression" dxfId="37" priority="15" stopIfTrue="1">
      <formula>IF(C144&gt;$B$8,1,0)</formula>
    </cfRule>
  </conditionalFormatting>
  <conditionalFormatting sqref="A144:A152">
    <cfRule type="expression" dxfId="36" priority="13" stopIfTrue="1">
      <formula>IF(B144&lt;0.1,1,0)</formula>
    </cfRule>
  </conditionalFormatting>
  <conditionalFormatting sqref="F144:F152">
    <cfRule type="expression" dxfId="35" priority="11" stopIfTrue="1">
      <formula>IF(F144=1,1,0)</formula>
    </cfRule>
    <cfRule type="expression" dxfId="34" priority="12" stopIfTrue="1">
      <formula>IF(F144&gt;$B$8,1,0)</formula>
    </cfRule>
  </conditionalFormatting>
  <conditionalFormatting sqref="B144:B15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4:C15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4:C1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4:D152">
    <cfRule type="expression" dxfId="33" priority="6" stopIfTrue="1">
      <formula>IF(D144=1,1,0)</formula>
    </cfRule>
    <cfRule type="expression" dxfId="32" priority="7" stopIfTrue="1">
      <formula>IF(D144&gt;$B$8,1,0)</formula>
    </cfRule>
  </conditionalFormatting>
  <conditionalFormatting sqref="C144:C1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4:B1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14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:C14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5:A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">
    <cfRule type="expression" dxfId="31" priority="1" stopIfTrue="1">
      <formula>IF(C11=1,1,0)</formula>
    </cfRule>
    <cfRule type="expression" dxfId="30" priority="2" stopIfTrue="1">
      <formula>IF(C11&gt;$B$8,1,0)</formula>
    </cfRule>
  </conditionalFormatting>
  <conditionalFormatting sqref="B11:B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C5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cmdEditLabels">
          <controlPr defaultSize="0" autoLine="0" r:id="rId5">
            <anchor moveWithCells="1">
              <from>
                <xdr:col>2</xdr:col>
                <xdr:colOff>0</xdr:colOff>
                <xdr:row>0</xdr:row>
                <xdr:rowOff>82550</xdr:rowOff>
              </from>
              <to>
                <xdr:col>2</xdr:col>
                <xdr:colOff>6350</xdr:colOff>
                <xdr:row>3</xdr:row>
                <xdr:rowOff>107950</xdr:rowOff>
              </to>
            </anchor>
          </controlPr>
        </control>
      </mc:Choice>
      <mc:Fallback>
        <control shapeId="30721" r:id="rId4" name="cmdEditLabel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E62F-8E84-44E2-9BBD-5E531CAA8DA3}">
  <sheetPr codeName="Sheet14">
    <tabColor rgb="FF0070C0"/>
  </sheetPr>
  <dimension ref="A1:FK152"/>
  <sheetViews>
    <sheetView zoomScale="50" zoomScaleNormal="50" workbookViewId="0">
      <pane xSplit="2" ySplit="10" topLeftCell="C11" activePane="bottomRight" state="frozen"/>
      <selection pane="topRight" activeCell="B10" sqref="B10"/>
      <selection pane="bottomLeft" activeCell="B10" sqref="B10"/>
      <selection pane="bottomRight"/>
    </sheetView>
  </sheetViews>
  <sheetFormatPr defaultColWidth="10.36328125" defaultRowHeight="13.5" x14ac:dyDescent="0.3"/>
  <cols>
    <col min="1" max="1" width="50" style="28" customWidth="1"/>
    <col min="2" max="2" width="13.08984375" style="28" customWidth="1"/>
    <col min="3" max="16384" width="10.36328125" style="28"/>
  </cols>
  <sheetData>
    <row r="1" spans="1:167" x14ac:dyDescent="0.3">
      <c r="A1" s="26" t="s">
        <v>101</v>
      </c>
      <c r="B1" s="26"/>
      <c r="C1" s="27"/>
    </row>
    <row r="2" spans="1:167" x14ac:dyDescent="0.3">
      <c r="A2" s="26" t="s">
        <v>71</v>
      </c>
      <c r="B2" s="26"/>
    </row>
    <row r="3" spans="1:167" x14ac:dyDescent="0.3">
      <c r="A3" s="26" t="s">
        <v>94</v>
      </c>
      <c r="B3" s="26"/>
    </row>
    <row r="4" spans="1:167" x14ac:dyDescent="0.3">
      <c r="A4" s="26" t="s">
        <v>92</v>
      </c>
      <c r="B4" s="26"/>
    </row>
    <row r="5" spans="1:167" x14ac:dyDescent="0.3">
      <c r="A5" s="26" t="s">
        <v>73</v>
      </c>
      <c r="B5" s="26"/>
    </row>
    <row r="6" spans="1:167" x14ac:dyDescent="0.3">
      <c r="A6" s="26" t="s">
        <v>75</v>
      </c>
    </row>
    <row r="7" spans="1:167" x14ac:dyDescent="0.3">
      <c r="A7" s="26"/>
    </row>
    <row r="8" spans="1:167" x14ac:dyDescent="0.3">
      <c r="A8" s="29" t="s">
        <v>1</v>
      </c>
      <c r="B8" s="30">
        <v>0.4</v>
      </c>
    </row>
    <row r="9" spans="1:167" x14ac:dyDescent="0.3">
      <c r="A9" s="28" t="s">
        <v>2</v>
      </c>
      <c r="C9" s="31">
        <v>1</v>
      </c>
      <c r="D9" s="31">
        <v>2</v>
      </c>
      <c r="E9" s="31">
        <v>3</v>
      </c>
      <c r="F9" s="31">
        <v>4</v>
      </c>
      <c r="G9" s="31">
        <v>5</v>
      </c>
      <c r="H9" s="31">
        <v>6</v>
      </c>
      <c r="I9" s="31">
        <v>7</v>
      </c>
      <c r="J9" s="31">
        <v>9</v>
      </c>
      <c r="K9" s="31">
        <v>11</v>
      </c>
      <c r="L9" s="31">
        <v>12</v>
      </c>
      <c r="M9" s="31">
        <v>13</v>
      </c>
      <c r="N9" s="31">
        <v>14</v>
      </c>
      <c r="O9" s="31">
        <v>15</v>
      </c>
      <c r="P9" s="31">
        <v>16</v>
      </c>
      <c r="Q9" s="31">
        <v>17</v>
      </c>
      <c r="R9" s="31">
        <v>18</v>
      </c>
      <c r="S9" s="31">
        <v>19</v>
      </c>
      <c r="T9" s="31">
        <v>20</v>
      </c>
      <c r="U9" s="31">
        <v>21</v>
      </c>
      <c r="V9" s="31">
        <v>22</v>
      </c>
      <c r="W9" s="31">
        <v>23</v>
      </c>
      <c r="X9" s="31">
        <v>24</v>
      </c>
      <c r="Y9" s="31">
        <v>25</v>
      </c>
      <c r="Z9" s="31">
        <v>26</v>
      </c>
      <c r="AA9" s="31">
        <v>27</v>
      </c>
      <c r="AB9" s="31">
        <v>28</v>
      </c>
      <c r="AC9" s="31">
        <v>29</v>
      </c>
      <c r="AD9" s="31">
        <v>30</v>
      </c>
      <c r="AE9" s="31">
        <v>31</v>
      </c>
      <c r="AF9" s="31">
        <v>32</v>
      </c>
      <c r="AG9" s="31">
        <v>33</v>
      </c>
      <c r="AH9" s="31">
        <v>35</v>
      </c>
      <c r="AI9" s="31">
        <v>36</v>
      </c>
      <c r="AJ9" s="31">
        <v>38</v>
      </c>
      <c r="AK9" s="31">
        <v>39</v>
      </c>
      <c r="AL9" s="31">
        <v>41</v>
      </c>
      <c r="AM9" s="31">
        <v>42</v>
      </c>
      <c r="AN9" s="31">
        <v>43</v>
      </c>
      <c r="AO9" s="31">
        <v>44</v>
      </c>
      <c r="AP9" s="31">
        <v>45</v>
      </c>
      <c r="AQ9" s="31">
        <v>46</v>
      </c>
      <c r="AR9" s="31">
        <v>47</v>
      </c>
      <c r="AS9" s="31">
        <v>48</v>
      </c>
      <c r="AT9" s="31">
        <v>49</v>
      </c>
      <c r="AU9" s="31">
        <v>50</v>
      </c>
      <c r="AV9" s="31">
        <v>51</v>
      </c>
      <c r="AW9" s="31">
        <v>52</v>
      </c>
      <c r="AX9" s="31">
        <v>53</v>
      </c>
      <c r="AY9" s="31">
        <v>54</v>
      </c>
      <c r="AZ9" s="31">
        <v>55</v>
      </c>
      <c r="BA9" s="31">
        <v>56</v>
      </c>
      <c r="BB9" s="31">
        <v>57</v>
      </c>
      <c r="BC9" s="31">
        <v>58</v>
      </c>
      <c r="BD9" s="31">
        <v>59</v>
      </c>
      <c r="BE9" s="31">
        <v>60</v>
      </c>
      <c r="BF9" s="31">
        <v>61</v>
      </c>
      <c r="BG9" s="31">
        <v>62</v>
      </c>
      <c r="BH9" s="31">
        <v>63</v>
      </c>
      <c r="BI9" s="31">
        <v>64</v>
      </c>
      <c r="BJ9" s="31">
        <v>65</v>
      </c>
      <c r="BK9" s="31">
        <v>66</v>
      </c>
      <c r="BL9" s="31">
        <v>67</v>
      </c>
      <c r="BM9" s="31">
        <v>68</v>
      </c>
      <c r="BN9" s="31">
        <v>69</v>
      </c>
      <c r="BO9" s="31">
        <v>70</v>
      </c>
      <c r="BP9" s="31">
        <v>71</v>
      </c>
      <c r="BQ9" s="31">
        <v>72</v>
      </c>
      <c r="BR9" s="31">
        <v>73</v>
      </c>
      <c r="BS9" s="31">
        <v>74</v>
      </c>
      <c r="BT9" s="31">
        <v>75</v>
      </c>
      <c r="BU9" s="31">
        <v>76</v>
      </c>
      <c r="BV9" s="31">
        <v>77</v>
      </c>
      <c r="BW9" s="31">
        <v>78</v>
      </c>
      <c r="BX9" s="31">
        <v>79</v>
      </c>
      <c r="BY9" s="31">
        <v>80</v>
      </c>
      <c r="BZ9" s="31">
        <v>81</v>
      </c>
      <c r="CA9" s="31">
        <v>82</v>
      </c>
      <c r="CB9" s="31">
        <v>83</v>
      </c>
      <c r="CC9" s="31">
        <v>84</v>
      </c>
      <c r="CD9" s="31">
        <v>85</v>
      </c>
      <c r="CE9" s="31">
        <v>86</v>
      </c>
      <c r="CF9" s="31">
        <v>87</v>
      </c>
      <c r="CG9" s="31">
        <v>88</v>
      </c>
      <c r="CH9" s="31">
        <v>89</v>
      </c>
      <c r="CI9" s="31">
        <v>90</v>
      </c>
      <c r="CJ9" s="31">
        <v>91</v>
      </c>
      <c r="CK9" s="31">
        <v>92</v>
      </c>
      <c r="CL9" s="31">
        <v>93</v>
      </c>
      <c r="CM9" s="31">
        <v>94</v>
      </c>
      <c r="CN9" s="31">
        <v>95</v>
      </c>
      <c r="CO9" s="31">
        <v>96</v>
      </c>
      <c r="CP9" s="31">
        <v>97</v>
      </c>
      <c r="CQ9" s="31">
        <v>98</v>
      </c>
      <c r="CR9" s="31">
        <v>99</v>
      </c>
      <c r="CS9" s="31">
        <v>100</v>
      </c>
      <c r="CT9" s="31">
        <v>101</v>
      </c>
      <c r="CU9" s="31">
        <v>102</v>
      </c>
      <c r="CV9" s="31">
        <v>103</v>
      </c>
      <c r="CW9" s="31">
        <v>104</v>
      </c>
      <c r="CX9" s="31">
        <v>105</v>
      </c>
      <c r="CY9" s="31">
        <v>106</v>
      </c>
      <c r="CZ9" s="31">
        <v>107</v>
      </c>
      <c r="DA9" s="31">
        <v>108</v>
      </c>
      <c r="DB9" s="31">
        <v>109</v>
      </c>
      <c r="DC9" s="31">
        <v>110</v>
      </c>
      <c r="DD9" s="31">
        <v>111</v>
      </c>
      <c r="DE9" s="31">
        <v>112</v>
      </c>
      <c r="DF9" s="31">
        <v>113</v>
      </c>
      <c r="DG9" s="31">
        <v>114</v>
      </c>
      <c r="DH9" s="31">
        <v>115</v>
      </c>
      <c r="DI9" s="31">
        <v>116</v>
      </c>
      <c r="DJ9" s="31">
        <v>117</v>
      </c>
      <c r="DK9" s="31">
        <v>118</v>
      </c>
      <c r="DL9" s="31">
        <v>119</v>
      </c>
      <c r="DM9" s="31">
        <v>120</v>
      </c>
      <c r="DN9" s="31">
        <v>121</v>
      </c>
      <c r="DO9" s="31">
        <v>122</v>
      </c>
      <c r="DP9" s="31">
        <v>123</v>
      </c>
      <c r="DQ9" s="31">
        <v>124</v>
      </c>
      <c r="DR9" s="31">
        <v>125</v>
      </c>
      <c r="DS9" s="31">
        <v>126</v>
      </c>
      <c r="DT9" s="31">
        <v>127</v>
      </c>
      <c r="DU9" s="31">
        <v>128</v>
      </c>
      <c r="DV9" s="31">
        <v>129</v>
      </c>
      <c r="DW9" s="31">
        <v>130</v>
      </c>
      <c r="DX9" s="31">
        <v>131</v>
      </c>
      <c r="DY9" s="31">
        <v>132</v>
      </c>
      <c r="DZ9" s="31">
        <v>133</v>
      </c>
      <c r="EA9" s="31">
        <v>134</v>
      </c>
      <c r="EB9" s="31">
        <v>135</v>
      </c>
      <c r="EC9" s="31">
        <v>136</v>
      </c>
      <c r="ED9" s="31">
        <v>137</v>
      </c>
      <c r="EE9" s="31">
        <v>138</v>
      </c>
      <c r="EF9" s="31">
        <v>139</v>
      </c>
      <c r="EG9" s="31">
        <v>140</v>
      </c>
      <c r="EH9" s="31">
        <v>141</v>
      </c>
      <c r="EI9" s="31">
        <v>142</v>
      </c>
      <c r="EJ9" s="31">
        <v>143</v>
      </c>
      <c r="EK9" s="31">
        <v>144</v>
      </c>
      <c r="EL9" s="31">
        <v>145</v>
      </c>
      <c r="EM9" s="31">
        <v>146</v>
      </c>
      <c r="EN9" s="31">
        <v>147</v>
      </c>
      <c r="EO9" s="31">
        <v>148</v>
      </c>
      <c r="EP9" s="31">
        <v>149</v>
      </c>
      <c r="EQ9" s="31">
        <v>150</v>
      </c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</row>
    <row r="10" spans="1:167" s="32" customFormat="1" ht="81" x14ac:dyDescent="0.35">
      <c r="A10" s="32" t="s">
        <v>3</v>
      </c>
      <c r="B10" s="32" t="s">
        <v>4</v>
      </c>
      <c r="C10" s="32" t="s">
        <v>96</v>
      </c>
      <c r="D10" s="32" t="s">
        <v>97</v>
      </c>
      <c r="E10" s="32" t="s">
        <v>98</v>
      </c>
      <c r="F10" s="32" t="s">
        <v>99</v>
      </c>
      <c r="G10" s="32" t="s">
        <v>60</v>
      </c>
      <c r="H10" s="32" t="s">
        <v>61</v>
      </c>
      <c r="I10" s="32" t="s">
        <v>62</v>
      </c>
      <c r="J10" s="32" t="s">
        <v>63</v>
      </c>
      <c r="K10" s="32" t="s">
        <v>64</v>
      </c>
      <c r="L10" s="32" t="s">
        <v>65</v>
      </c>
      <c r="M10" s="32" t="s">
        <v>66</v>
      </c>
      <c r="N10" s="32" t="s">
        <v>67</v>
      </c>
      <c r="O10" s="32" t="s">
        <v>76</v>
      </c>
      <c r="P10" s="32" t="s">
        <v>77</v>
      </c>
      <c r="Q10" s="32" t="s">
        <v>78</v>
      </c>
      <c r="R10" s="32" t="s">
        <v>79</v>
      </c>
      <c r="S10" s="32" t="s">
        <v>80</v>
      </c>
      <c r="T10" s="32" t="s">
        <v>81</v>
      </c>
      <c r="U10" s="32" t="s">
        <v>82</v>
      </c>
      <c r="V10" s="32" t="s">
        <v>83</v>
      </c>
      <c r="W10" s="32" t="s">
        <v>84</v>
      </c>
      <c r="X10" s="32" t="s">
        <v>85</v>
      </c>
      <c r="Y10" s="32" t="s">
        <v>86</v>
      </c>
      <c r="Z10" s="32" t="s">
        <v>87</v>
      </c>
      <c r="AA10" s="32" t="s">
        <v>88</v>
      </c>
      <c r="AB10" s="32" t="s">
        <v>89</v>
      </c>
      <c r="AC10" s="32" t="s">
        <v>90</v>
      </c>
      <c r="AD10" s="32" t="s">
        <v>91</v>
      </c>
      <c r="AU10" s="32">
        <v>0</v>
      </c>
      <c r="AV10" s="32">
        <v>0</v>
      </c>
      <c r="AW10" s="32">
        <v>0</v>
      </c>
      <c r="AX10" s="32">
        <v>0</v>
      </c>
      <c r="AY10" s="32">
        <v>0</v>
      </c>
      <c r="AZ10" s="32">
        <v>0</v>
      </c>
      <c r="BA10" s="32">
        <v>0</v>
      </c>
      <c r="BB10" s="32">
        <v>0</v>
      </c>
      <c r="BC10" s="32">
        <v>0</v>
      </c>
      <c r="BD10" s="32">
        <v>0</v>
      </c>
      <c r="BE10" s="32">
        <v>0</v>
      </c>
      <c r="BF10" s="32">
        <v>0</v>
      </c>
      <c r="BG10" s="32">
        <v>0</v>
      </c>
      <c r="BH10" s="32">
        <v>0</v>
      </c>
      <c r="BI10" s="32">
        <v>0</v>
      </c>
      <c r="BJ10" s="32">
        <v>0</v>
      </c>
      <c r="BK10" s="32">
        <v>0</v>
      </c>
      <c r="BL10" s="32">
        <v>0</v>
      </c>
      <c r="BM10" s="32">
        <v>0</v>
      </c>
      <c r="BN10" s="32">
        <v>0</v>
      </c>
      <c r="BO10" s="32">
        <v>0</v>
      </c>
      <c r="BP10" s="32">
        <v>0</v>
      </c>
      <c r="BQ10" s="32">
        <v>0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0</v>
      </c>
      <c r="DL10" s="32">
        <v>0</v>
      </c>
      <c r="DM10" s="32">
        <v>0</v>
      </c>
      <c r="DN10" s="32">
        <v>0</v>
      </c>
      <c r="DO10" s="32">
        <v>0</v>
      </c>
      <c r="DP10" s="32">
        <v>0</v>
      </c>
      <c r="DQ10" s="32">
        <v>0</v>
      </c>
      <c r="DR10" s="32">
        <v>0</v>
      </c>
      <c r="DS10" s="32">
        <v>0</v>
      </c>
      <c r="DT10" s="32">
        <v>0</v>
      </c>
      <c r="DU10" s="32">
        <v>0</v>
      </c>
      <c r="DV10" s="32">
        <v>0</v>
      </c>
      <c r="DW10" s="32">
        <v>0</v>
      </c>
      <c r="DX10" s="32">
        <v>0</v>
      </c>
      <c r="DY10" s="32">
        <v>0</v>
      </c>
      <c r="DZ10" s="32">
        <v>0</v>
      </c>
      <c r="EA10" s="32">
        <v>0</v>
      </c>
      <c r="EB10" s="32">
        <v>0</v>
      </c>
      <c r="EC10" s="32">
        <v>0</v>
      </c>
      <c r="ED10" s="32">
        <v>0</v>
      </c>
      <c r="EE10" s="32">
        <v>0</v>
      </c>
      <c r="EF10" s="32">
        <v>0</v>
      </c>
      <c r="EG10" s="32">
        <v>0</v>
      </c>
      <c r="EH10" s="32">
        <v>0</v>
      </c>
      <c r="EI10" s="32">
        <v>0</v>
      </c>
      <c r="EJ10" s="32">
        <v>0</v>
      </c>
      <c r="EK10" s="32">
        <v>0</v>
      </c>
      <c r="EL10" s="32">
        <v>0</v>
      </c>
      <c r="EM10" s="32">
        <v>0</v>
      </c>
      <c r="EN10" s="32">
        <v>0</v>
      </c>
      <c r="EO10" s="32">
        <v>0</v>
      </c>
      <c r="EP10" s="32">
        <v>0</v>
      </c>
      <c r="EQ10" s="32">
        <v>0</v>
      </c>
    </row>
    <row r="11" spans="1:167" ht="14.5" x14ac:dyDescent="0.35">
      <c r="A11" s="28" t="s">
        <v>96</v>
      </c>
      <c r="B11" s="54">
        <v>1.0738861723117268</v>
      </c>
      <c r="C11" s="34">
        <v>1</v>
      </c>
      <c r="D11" s="34">
        <v>0.63561760457731875</v>
      </c>
      <c r="E11" s="34">
        <v>0.42175060306552475</v>
      </c>
      <c r="F11" s="34">
        <v>6.5537190698354161E-2</v>
      </c>
      <c r="G11" s="34">
        <v>0.5987927751177986</v>
      </c>
      <c r="H11" s="34">
        <v>0.67858301810407395</v>
      </c>
      <c r="I11" s="34">
        <v>0.57596355618860862</v>
      </c>
      <c r="J11" s="34">
        <v>0.69914555408063572</v>
      </c>
      <c r="K11" s="34">
        <v>0.58173784508290527</v>
      </c>
      <c r="L11" s="34">
        <v>0.68107125267093238</v>
      </c>
      <c r="M11" s="34">
        <v>0.58414022383510322</v>
      </c>
      <c r="N11" s="34">
        <v>0.67664802242122635</v>
      </c>
      <c r="O11" s="34">
        <v>0.29320996062202698</v>
      </c>
      <c r="P11" s="34">
        <v>0.32982776497108257</v>
      </c>
      <c r="Q11" s="34">
        <v>0.34783661148889528</v>
      </c>
      <c r="R11" s="34">
        <v>0.37956752419950368</v>
      </c>
      <c r="S11" s="34">
        <v>0.27866078486325691</v>
      </c>
      <c r="T11" s="34">
        <v>0.18605399479486701</v>
      </c>
      <c r="U11" s="34">
        <v>0.28571334924094727</v>
      </c>
      <c r="V11" s="34">
        <v>0.28070754624059147</v>
      </c>
      <c r="W11" s="34">
        <v>0.27587982705566716</v>
      </c>
      <c r="X11" s="34">
        <v>0.31111248751916337</v>
      </c>
      <c r="Y11" s="34">
        <v>0.35732954341594747</v>
      </c>
      <c r="Z11" s="34">
        <v>0.35322264368075712</v>
      </c>
      <c r="AA11" s="34">
        <v>0.35720190435499222</v>
      </c>
      <c r="AB11" s="34">
        <v>0.27165455534209154</v>
      </c>
      <c r="AC11" s="34">
        <v>0.33676432627368785</v>
      </c>
      <c r="AD11" s="34">
        <v>0.2798855370796034</v>
      </c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</row>
    <row r="12" spans="1:167" ht="14.5" x14ac:dyDescent="0.35">
      <c r="A12" s="28" t="s">
        <v>97</v>
      </c>
      <c r="B12" s="35">
        <v>121.27326654157319</v>
      </c>
      <c r="C12" s="34">
        <v>0.63561760457731875</v>
      </c>
      <c r="D12" s="34">
        <v>1</v>
      </c>
      <c r="E12" s="34">
        <v>2.727874475515291E-2</v>
      </c>
      <c r="F12" s="34">
        <v>-0.26461768258678958</v>
      </c>
      <c r="G12" s="34">
        <v>0.66241346628229791</v>
      </c>
      <c r="H12" s="34">
        <v>0.5672846004102039</v>
      </c>
      <c r="I12" s="34">
        <v>0.30210554636767989</v>
      </c>
      <c r="J12" s="34">
        <v>0.30555927242118808</v>
      </c>
      <c r="K12" s="34">
        <v>0.69965853170772563</v>
      </c>
      <c r="L12" s="34">
        <v>0.64542898669063076</v>
      </c>
      <c r="M12" s="34">
        <v>0.63037266786386548</v>
      </c>
      <c r="N12" s="34">
        <v>0.5774418420822669</v>
      </c>
      <c r="O12" s="34">
        <v>0.24258390295694757</v>
      </c>
      <c r="P12" s="34">
        <v>0.30083254826243011</v>
      </c>
      <c r="Q12" s="34">
        <v>0.32915930509062041</v>
      </c>
      <c r="R12" s="34">
        <v>0.36255431408575306</v>
      </c>
      <c r="S12" s="34">
        <v>0.20586893132862771</v>
      </c>
      <c r="T12" s="34">
        <v>0.17011693787404059</v>
      </c>
      <c r="U12" s="34">
        <v>0.2609745711900065</v>
      </c>
      <c r="V12" s="34">
        <v>0.22446364140766376</v>
      </c>
      <c r="W12" s="34">
        <v>0.23150590221657211</v>
      </c>
      <c r="X12" s="34">
        <v>0.24166799436508654</v>
      </c>
      <c r="Y12" s="34">
        <v>0.31408142614181267</v>
      </c>
      <c r="Z12" s="34">
        <v>0.29875480698070345</v>
      </c>
      <c r="AA12" s="34">
        <v>0.34711413136084029</v>
      </c>
      <c r="AB12" s="34">
        <v>0.24965977724311633</v>
      </c>
      <c r="AC12" s="34">
        <v>0.30887502815037809</v>
      </c>
      <c r="AD12" s="34">
        <v>0.19364133524585633</v>
      </c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</row>
    <row r="13" spans="1:167" x14ac:dyDescent="0.3">
      <c r="A13" s="28" t="s">
        <v>98</v>
      </c>
      <c r="B13" s="36">
        <v>91.765287029097095</v>
      </c>
      <c r="C13" s="34">
        <v>0.42175060306552475</v>
      </c>
      <c r="D13" s="34">
        <v>2.727874475515291E-2</v>
      </c>
      <c r="E13" s="34">
        <v>1</v>
      </c>
      <c r="F13" s="34">
        <v>-7.1621770200016907E-2</v>
      </c>
      <c r="G13" s="34">
        <v>0.26536855332512554</v>
      </c>
      <c r="H13" s="34">
        <v>0.1597092077674048</v>
      </c>
      <c r="I13" s="34">
        <v>0.80106470901919979</v>
      </c>
      <c r="J13" s="34">
        <v>0.65328574513355719</v>
      </c>
      <c r="K13" s="34">
        <v>0.20396439520373158</v>
      </c>
      <c r="L13" s="34">
        <v>0.17086655609050569</v>
      </c>
      <c r="M13" s="34">
        <v>0.28011052394724484</v>
      </c>
      <c r="N13" s="34">
        <v>0.23541020994877723</v>
      </c>
      <c r="O13" s="34">
        <v>0.18029091057812394</v>
      </c>
      <c r="P13" s="34">
        <v>0.22073591273611337</v>
      </c>
      <c r="Q13" s="34">
        <v>0.18266136339496469</v>
      </c>
      <c r="R13" s="34">
        <v>0.14526005503246345</v>
      </c>
      <c r="S13" s="34">
        <v>0.16843532361346961</v>
      </c>
      <c r="T13" s="34">
        <v>8.5948091470813018E-2</v>
      </c>
      <c r="U13" s="34">
        <v>9.9495724806552138E-2</v>
      </c>
      <c r="V13" s="34">
        <v>0.17949778029056948</v>
      </c>
      <c r="W13" s="34">
        <v>0.13320419769309388</v>
      </c>
      <c r="X13" s="34">
        <v>0.21311532902478941</v>
      </c>
      <c r="Y13" s="34">
        <v>0.17555931689244428</v>
      </c>
      <c r="Z13" s="34">
        <v>0.19757080941979535</v>
      </c>
      <c r="AA13" s="34">
        <v>0.13742135011185555</v>
      </c>
      <c r="AB13" s="34">
        <v>0.16932584033647444</v>
      </c>
      <c r="AC13" s="34">
        <v>0.17033222637259623</v>
      </c>
      <c r="AD13" s="34">
        <v>0.16631963261204916</v>
      </c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</row>
    <row r="14" spans="1:167" x14ac:dyDescent="0.3">
      <c r="A14" s="28" t="s">
        <v>99</v>
      </c>
      <c r="B14" s="36">
        <v>132.92190049017708</v>
      </c>
      <c r="C14" s="34">
        <v>6.5537190698354161E-2</v>
      </c>
      <c r="D14" s="34">
        <v>-0.26461768258678958</v>
      </c>
      <c r="E14" s="34">
        <v>-7.1621770200016907E-2</v>
      </c>
      <c r="F14" s="34">
        <v>1</v>
      </c>
      <c r="G14" s="34">
        <v>4.5602302037683937E-2</v>
      </c>
      <c r="H14" s="34">
        <v>6.1437686314251873E-2</v>
      </c>
      <c r="I14" s="34">
        <v>-3.7947270104988801E-2</v>
      </c>
      <c r="J14" s="34">
        <v>1.4798036350163185E-2</v>
      </c>
      <c r="K14" s="34">
        <v>-5.1068788891495111E-2</v>
      </c>
      <c r="L14" s="34">
        <v>-1.8723463820679111E-2</v>
      </c>
      <c r="M14" s="34">
        <v>-7.9478846819353369E-2</v>
      </c>
      <c r="N14" s="34">
        <v>-5.0828180027709405E-2</v>
      </c>
      <c r="O14" s="34">
        <v>0.10947481366729878</v>
      </c>
      <c r="P14" s="34">
        <v>6.3258801316452062E-2</v>
      </c>
      <c r="Q14" s="34">
        <v>0.11408706834994446</v>
      </c>
      <c r="R14" s="34">
        <v>8.835179358893995E-2</v>
      </c>
      <c r="S14" s="34">
        <v>0.10557686879731189</v>
      </c>
      <c r="T14" s="34">
        <v>5.0411520099768778E-2</v>
      </c>
      <c r="U14" s="34">
        <v>8.8229510457623964E-2</v>
      </c>
      <c r="V14" s="34">
        <v>8.1137366076132242E-2</v>
      </c>
      <c r="W14" s="34">
        <v>7.254235384623893E-2</v>
      </c>
      <c r="X14" s="34">
        <v>8.1623540925335747E-2</v>
      </c>
      <c r="Y14" s="34">
        <v>7.2375608390288948E-2</v>
      </c>
      <c r="Z14" s="34">
        <v>6.8290254219144073E-2</v>
      </c>
      <c r="AA14" s="34">
        <v>5.9350064666996133E-2</v>
      </c>
      <c r="AB14" s="34">
        <v>8.0138384397922716E-2</v>
      </c>
      <c r="AC14" s="34">
        <v>0.10255243188143286</v>
      </c>
      <c r="AD14" s="34">
        <v>7.8804798693627665E-2</v>
      </c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</row>
    <row r="15" spans="1:167" x14ac:dyDescent="0.3">
      <c r="A15" s="28" t="s">
        <v>60</v>
      </c>
      <c r="B15" s="37">
        <v>0.29690152941976888</v>
      </c>
      <c r="C15" s="34">
        <v>0.5987927751177986</v>
      </c>
      <c r="D15" s="34">
        <v>0.66241346628229791</v>
      </c>
      <c r="E15" s="34">
        <v>0.26536855332512554</v>
      </c>
      <c r="F15" s="34">
        <v>4.5602302037683937E-2</v>
      </c>
      <c r="G15" s="34">
        <v>1</v>
      </c>
      <c r="H15" s="34">
        <v>0.5190322811421284</v>
      </c>
      <c r="I15" s="34">
        <v>0.53124252353785872</v>
      </c>
      <c r="J15" s="34">
        <v>0.44302757022442224</v>
      </c>
      <c r="K15" s="34">
        <v>0.55720000495921507</v>
      </c>
      <c r="L15" s="34">
        <v>0.46144634378243327</v>
      </c>
      <c r="M15" s="34">
        <v>0.48336760551644536</v>
      </c>
      <c r="N15" s="34">
        <v>0.41792248085180306</v>
      </c>
      <c r="O15" s="34">
        <v>0.28784548390682591</v>
      </c>
      <c r="P15" s="34">
        <v>0.30348516576987805</v>
      </c>
      <c r="Q15" s="34">
        <v>0.2952508153812205</v>
      </c>
      <c r="R15" s="34">
        <v>0.30009842396630454</v>
      </c>
      <c r="S15" s="34">
        <v>0.25563344587493908</v>
      </c>
      <c r="T15" s="34">
        <v>0.11405333513810961</v>
      </c>
      <c r="U15" s="34">
        <v>0.2024077484035566</v>
      </c>
      <c r="V15" s="34">
        <v>0.21441653920071127</v>
      </c>
      <c r="W15" s="34">
        <v>0.20134179708751668</v>
      </c>
      <c r="X15" s="34">
        <v>0.26946806014755798</v>
      </c>
      <c r="Y15" s="34">
        <v>0.31194786682187847</v>
      </c>
      <c r="Z15" s="34">
        <v>0.3337867397961734</v>
      </c>
      <c r="AA15" s="34">
        <v>0.32339703425583821</v>
      </c>
      <c r="AB15" s="34">
        <v>0.28751554816776803</v>
      </c>
      <c r="AC15" s="34">
        <v>0.31984634250797511</v>
      </c>
      <c r="AD15" s="34">
        <v>0.25139675971708841</v>
      </c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</row>
    <row r="16" spans="1:167" ht="14.5" x14ac:dyDescent="0.35">
      <c r="A16" s="28" t="s">
        <v>61</v>
      </c>
      <c r="B16" s="33">
        <v>0.61051606231566635</v>
      </c>
      <c r="C16" s="34">
        <v>0.67858301810407395</v>
      </c>
      <c r="D16" s="34">
        <v>0.5672846004102039</v>
      </c>
      <c r="E16" s="34">
        <v>0.1597092077674048</v>
      </c>
      <c r="F16" s="34">
        <v>6.1437686314251873E-2</v>
      </c>
      <c r="G16" s="34">
        <v>0.5190322811421284</v>
      </c>
      <c r="H16" s="34">
        <v>1</v>
      </c>
      <c r="I16" s="34">
        <v>0.31892758170812546</v>
      </c>
      <c r="J16" s="34">
        <v>0.4369495656370973</v>
      </c>
      <c r="K16" s="34">
        <v>0.41291381260726234</v>
      </c>
      <c r="L16" s="34">
        <v>0.53376609926512686</v>
      </c>
      <c r="M16" s="34">
        <v>0.34501273213936889</v>
      </c>
      <c r="N16" s="34">
        <v>0.45897501589615131</v>
      </c>
      <c r="O16" s="34">
        <v>0.25132850650724836</v>
      </c>
      <c r="P16" s="34">
        <v>0.26263946528092835</v>
      </c>
      <c r="Q16" s="34">
        <v>0.3020253551769429</v>
      </c>
      <c r="R16" s="34">
        <v>0.38648720144727206</v>
      </c>
      <c r="S16" s="34">
        <v>0.22582493397167766</v>
      </c>
      <c r="T16" s="34">
        <v>0.15909110741404028</v>
      </c>
      <c r="U16" s="34">
        <v>0.23181886188338763</v>
      </c>
      <c r="V16" s="34">
        <v>0.2202676742164251</v>
      </c>
      <c r="W16" s="34">
        <v>0.24870462540500848</v>
      </c>
      <c r="X16" s="34">
        <v>0.27714127339538053</v>
      </c>
      <c r="Y16" s="34">
        <v>0.31162086609267453</v>
      </c>
      <c r="Z16" s="34">
        <v>0.3081488182842661</v>
      </c>
      <c r="AA16" s="34">
        <v>0.33763744800111145</v>
      </c>
      <c r="AB16" s="34">
        <v>0.22788395689562288</v>
      </c>
      <c r="AC16" s="34">
        <v>0.2841982063270182</v>
      </c>
      <c r="AD16" s="34">
        <v>0.22599884108478369</v>
      </c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</row>
    <row r="17" spans="1:167" ht="14.5" x14ac:dyDescent="0.35">
      <c r="A17" s="28" t="s">
        <v>62</v>
      </c>
      <c r="B17" s="33">
        <v>0.23875496199887461</v>
      </c>
      <c r="C17" s="34">
        <v>0.57596355618860862</v>
      </c>
      <c r="D17" s="34">
        <v>0.30210554636767989</v>
      </c>
      <c r="E17" s="34">
        <v>0.80106470901919979</v>
      </c>
      <c r="F17" s="34">
        <v>-3.7947270104988801E-2</v>
      </c>
      <c r="G17" s="34">
        <v>0.53124252353785872</v>
      </c>
      <c r="H17" s="34">
        <v>0.31892758170812546</v>
      </c>
      <c r="I17" s="34">
        <v>1</v>
      </c>
      <c r="J17" s="34">
        <v>0.62276645727026891</v>
      </c>
      <c r="K17" s="34">
        <v>0.52676214712309544</v>
      </c>
      <c r="L17" s="34">
        <v>0.41469157616708896</v>
      </c>
      <c r="M17" s="34">
        <v>0.5005494610307305</v>
      </c>
      <c r="N17" s="34">
        <v>0.3809940602477096</v>
      </c>
      <c r="O17" s="34">
        <v>0.21887926526706222</v>
      </c>
      <c r="P17" s="34">
        <v>0.27784030904226253</v>
      </c>
      <c r="Q17" s="34">
        <v>0.22648395140209521</v>
      </c>
      <c r="R17" s="34">
        <v>0.21163972375614518</v>
      </c>
      <c r="S17" s="34">
        <v>0.24092563701575498</v>
      </c>
      <c r="T17" s="34">
        <v>0.10039768425638201</v>
      </c>
      <c r="U17" s="34">
        <v>0.12450153443080407</v>
      </c>
      <c r="V17" s="34">
        <v>0.21436978493367281</v>
      </c>
      <c r="W17" s="34">
        <v>0.1582306444909603</v>
      </c>
      <c r="X17" s="34">
        <v>0.23804286421836993</v>
      </c>
      <c r="Y17" s="34">
        <v>0.24560228647078744</v>
      </c>
      <c r="Z17" s="34">
        <v>0.2866545088907953</v>
      </c>
      <c r="AA17" s="34">
        <v>0.22102068576728351</v>
      </c>
      <c r="AB17" s="34">
        <v>0.20428738514817205</v>
      </c>
      <c r="AC17" s="34">
        <v>0.25148060074621087</v>
      </c>
      <c r="AD17" s="34">
        <v>0.2168992951421008</v>
      </c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</row>
    <row r="18" spans="1:167" ht="14.5" x14ac:dyDescent="0.35">
      <c r="A18" s="28" t="s">
        <v>63</v>
      </c>
      <c r="B18" s="33">
        <v>0.44711105699555576</v>
      </c>
      <c r="C18" s="34">
        <v>0.69914555408063572</v>
      </c>
      <c r="D18" s="34">
        <v>0.30555927242118808</v>
      </c>
      <c r="E18" s="34">
        <v>0.65328574513355719</v>
      </c>
      <c r="F18" s="34">
        <v>1.4798036350163185E-2</v>
      </c>
      <c r="G18" s="34">
        <v>0.44302757022442224</v>
      </c>
      <c r="H18" s="34">
        <v>0.4369495656370973</v>
      </c>
      <c r="I18" s="34">
        <v>0.62276645727026891</v>
      </c>
      <c r="J18" s="34">
        <v>1</v>
      </c>
      <c r="K18" s="34">
        <v>0.41668082985594462</v>
      </c>
      <c r="L18" s="34">
        <v>0.50337703358323127</v>
      </c>
      <c r="M18" s="34">
        <v>0.3936442480831599</v>
      </c>
      <c r="N18" s="34">
        <v>0.46483134888048866</v>
      </c>
      <c r="O18" s="34">
        <v>0.21861349035627323</v>
      </c>
      <c r="P18" s="34">
        <v>0.25303316900550454</v>
      </c>
      <c r="Q18" s="34">
        <v>0.25121914157598474</v>
      </c>
      <c r="R18" s="34">
        <v>0.23213213960169302</v>
      </c>
      <c r="S18" s="34">
        <v>0.18825469719980592</v>
      </c>
      <c r="T18" s="34">
        <v>0.11467875210555557</v>
      </c>
      <c r="U18" s="34">
        <v>0.16987852288125874</v>
      </c>
      <c r="V18" s="34">
        <v>0.18176724262319241</v>
      </c>
      <c r="W18" s="34">
        <v>0.18076317360494537</v>
      </c>
      <c r="X18" s="34">
        <v>0.21098404951549182</v>
      </c>
      <c r="Y18" s="34">
        <v>0.23879152394674283</v>
      </c>
      <c r="Z18" s="34">
        <v>0.23256194160458776</v>
      </c>
      <c r="AA18" s="34">
        <v>0.21748764974904178</v>
      </c>
      <c r="AB18" s="34">
        <v>0.2017490827973849</v>
      </c>
      <c r="AC18" s="34">
        <v>0.21263955031705986</v>
      </c>
      <c r="AD18" s="34">
        <v>0.1859229438378632</v>
      </c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</row>
    <row r="19" spans="1:167" ht="14.5" x14ac:dyDescent="0.35">
      <c r="A19" s="28" t="s">
        <v>64</v>
      </c>
      <c r="B19" s="33">
        <v>0.33431032176458142</v>
      </c>
      <c r="C19" s="34">
        <v>0.58173784508290527</v>
      </c>
      <c r="D19" s="34">
        <v>0.69965853170772563</v>
      </c>
      <c r="E19" s="34">
        <v>0.20396439520373158</v>
      </c>
      <c r="F19" s="34">
        <v>-5.1068788891495111E-2</v>
      </c>
      <c r="G19" s="34">
        <v>0.55720000495921507</v>
      </c>
      <c r="H19" s="34">
        <v>0.41291381260726234</v>
      </c>
      <c r="I19" s="34">
        <v>0.52676214712309544</v>
      </c>
      <c r="J19" s="34">
        <v>0.41668082985594462</v>
      </c>
      <c r="K19" s="34">
        <v>1</v>
      </c>
      <c r="L19" s="34">
        <v>0.67721478133419477</v>
      </c>
      <c r="M19" s="34">
        <v>0.57146562942499057</v>
      </c>
      <c r="N19" s="34">
        <v>0.45188976740428621</v>
      </c>
      <c r="O19" s="34">
        <v>0.24762276373999881</v>
      </c>
      <c r="P19" s="34">
        <v>0.28267989519516495</v>
      </c>
      <c r="Q19" s="34">
        <v>0.30998529380584378</v>
      </c>
      <c r="R19" s="34">
        <v>0.2868733283648473</v>
      </c>
      <c r="S19" s="34">
        <v>0.25373849149841016</v>
      </c>
      <c r="T19" s="34">
        <v>0.15534207784711665</v>
      </c>
      <c r="U19" s="34">
        <v>0.22317839517376081</v>
      </c>
      <c r="V19" s="34">
        <v>0.22743099140891268</v>
      </c>
      <c r="W19" s="34">
        <v>0.21641023986325955</v>
      </c>
      <c r="X19" s="34">
        <v>0.24028215669210687</v>
      </c>
      <c r="Y19" s="34">
        <v>0.28994819623067414</v>
      </c>
      <c r="Z19" s="34">
        <v>0.29926093697213263</v>
      </c>
      <c r="AA19" s="34">
        <v>0.31503844064454706</v>
      </c>
      <c r="AB19" s="34">
        <v>0.21917500284887842</v>
      </c>
      <c r="AC19" s="34">
        <v>0.31145778290194798</v>
      </c>
      <c r="AD19" s="34">
        <v>0.20113798921767892</v>
      </c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</row>
    <row r="20" spans="1:167" ht="14.5" x14ac:dyDescent="0.35">
      <c r="A20" s="28" t="s">
        <v>65</v>
      </c>
      <c r="B20" s="33">
        <v>0.52267934195279575</v>
      </c>
      <c r="C20" s="34">
        <v>0.68107125267093238</v>
      </c>
      <c r="D20" s="34">
        <v>0.64542898669063076</v>
      </c>
      <c r="E20" s="34">
        <v>0.17086655609050569</v>
      </c>
      <c r="F20" s="34">
        <v>-1.8723463820679111E-2</v>
      </c>
      <c r="G20" s="34">
        <v>0.46144634378243327</v>
      </c>
      <c r="H20" s="34">
        <v>0.53376609926512686</v>
      </c>
      <c r="I20" s="34">
        <v>0.41469157616708896</v>
      </c>
      <c r="J20" s="34">
        <v>0.50337703358323127</v>
      </c>
      <c r="K20" s="34">
        <v>0.67721478133419477</v>
      </c>
      <c r="L20" s="34">
        <v>1</v>
      </c>
      <c r="M20" s="34">
        <v>0.45151038688119616</v>
      </c>
      <c r="N20" s="34">
        <v>0.52649147689080478</v>
      </c>
      <c r="O20" s="34">
        <v>0.21975309752798627</v>
      </c>
      <c r="P20" s="34">
        <v>0.23905707816422578</v>
      </c>
      <c r="Q20" s="34">
        <v>0.29383950013274596</v>
      </c>
      <c r="R20" s="34">
        <v>0.32148971004401927</v>
      </c>
      <c r="S20" s="34">
        <v>0.23542375824341463</v>
      </c>
      <c r="T20" s="34">
        <v>0.17384495348215279</v>
      </c>
      <c r="U20" s="34">
        <v>0.21790619022085395</v>
      </c>
      <c r="V20" s="34">
        <v>0.22974712781708795</v>
      </c>
      <c r="W20" s="34">
        <v>0.20379684704042814</v>
      </c>
      <c r="X20" s="34">
        <v>0.20155747746207284</v>
      </c>
      <c r="Y20" s="34">
        <v>0.27416580235052057</v>
      </c>
      <c r="Z20" s="34">
        <v>0.25344808404929725</v>
      </c>
      <c r="AA20" s="34">
        <v>0.27759208445201011</v>
      </c>
      <c r="AB20" s="34">
        <v>0.18647062535816555</v>
      </c>
      <c r="AC20" s="34">
        <v>0.25463785983209797</v>
      </c>
      <c r="AD20" s="34">
        <v>0.21766901298493654</v>
      </c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</row>
    <row r="21" spans="1:167" ht="14.5" x14ac:dyDescent="0.35">
      <c r="A21" s="28" t="s">
        <v>66</v>
      </c>
      <c r="B21" s="33">
        <v>0.31741795845871584</v>
      </c>
      <c r="C21" s="34">
        <v>0.58414022383510322</v>
      </c>
      <c r="D21" s="34">
        <v>0.63037266786386548</v>
      </c>
      <c r="E21" s="34">
        <v>0.28011052394724484</v>
      </c>
      <c r="F21" s="34">
        <v>-7.9478846819353369E-2</v>
      </c>
      <c r="G21" s="34">
        <v>0.48336760551644536</v>
      </c>
      <c r="H21" s="34">
        <v>0.34501273213936889</v>
      </c>
      <c r="I21" s="34">
        <v>0.5005494610307305</v>
      </c>
      <c r="J21" s="34">
        <v>0.3936442480831599</v>
      </c>
      <c r="K21" s="34">
        <v>0.57146562942499057</v>
      </c>
      <c r="L21" s="34">
        <v>0.45151038688119616</v>
      </c>
      <c r="M21" s="34">
        <v>1</v>
      </c>
      <c r="N21" s="34">
        <v>0.69372229885185221</v>
      </c>
      <c r="O21" s="34">
        <v>0.18119492152944028</v>
      </c>
      <c r="P21" s="34">
        <v>0.23985785766405215</v>
      </c>
      <c r="Q21" s="34">
        <v>0.24082870310030807</v>
      </c>
      <c r="R21" s="34">
        <v>0.23166824986520945</v>
      </c>
      <c r="S21" s="34">
        <v>0.19389000735980114</v>
      </c>
      <c r="T21" s="34">
        <v>0.12486994029880594</v>
      </c>
      <c r="U21" s="34">
        <v>0.15795439157028526</v>
      </c>
      <c r="V21" s="34">
        <v>0.20712419809900326</v>
      </c>
      <c r="W21" s="34">
        <v>0.16070131146055083</v>
      </c>
      <c r="X21" s="34">
        <v>0.20670230491585914</v>
      </c>
      <c r="Y21" s="34">
        <v>0.24026228013498241</v>
      </c>
      <c r="Z21" s="34">
        <v>0.27133212612468816</v>
      </c>
      <c r="AA21" s="34">
        <v>0.24237061972188254</v>
      </c>
      <c r="AB21" s="34">
        <v>0.18829632495336415</v>
      </c>
      <c r="AC21" s="34">
        <v>0.26136276669462116</v>
      </c>
      <c r="AD21" s="34">
        <v>0.17438334898957727</v>
      </c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</row>
    <row r="22" spans="1:167" ht="14.5" x14ac:dyDescent="0.35">
      <c r="A22" s="28" t="s">
        <v>67</v>
      </c>
      <c r="B22" s="33">
        <v>0.49142677726795897</v>
      </c>
      <c r="C22" s="34">
        <v>0.67664802242122635</v>
      </c>
      <c r="D22" s="34">
        <v>0.5774418420822669</v>
      </c>
      <c r="E22" s="34">
        <v>0.23541020994877723</v>
      </c>
      <c r="F22" s="34">
        <v>-5.0828180027709405E-2</v>
      </c>
      <c r="G22" s="34">
        <v>0.41792248085180306</v>
      </c>
      <c r="H22" s="34">
        <v>0.45897501589615131</v>
      </c>
      <c r="I22" s="34">
        <v>0.3809940602477096</v>
      </c>
      <c r="J22" s="34">
        <v>0.46483134888048866</v>
      </c>
      <c r="K22" s="34">
        <v>0.45188976740428621</v>
      </c>
      <c r="L22" s="34">
        <v>0.52649147689080478</v>
      </c>
      <c r="M22" s="34">
        <v>0.69372229885185221</v>
      </c>
      <c r="N22" s="34">
        <v>1</v>
      </c>
      <c r="O22" s="34">
        <v>0.20640028883297937</v>
      </c>
      <c r="P22" s="34">
        <v>0.22968869505827452</v>
      </c>
      <c r="Q22" s="34">
        <v>0.20710630753579826</v>
      </c>
      <c r="R22" s="34">
        <v>0.23948134080671327</v>
      </c>
      <c r="S22" s="34">
        <v>0.20582377299683455</v>
      </c>
      <c r="T22" s="34">
        <v>0.12835977069495072</v>
      </c>
      <c r="U22" s="34">
        <v>0.19069863652025373</v>
      </c>
      <c r="V22" s="34">
        <v>0.24123318704414717</v>
      </c>
      <c r="W22" s="34">
        <v>0.16927215267922177</v>
      </c>
      <c r="X22" s="34">
        <v>0.20953083462289041</v>
      </c>
      <c r="Y22" s="34">
        <v>0.25705468755862693</v>
      </c>
      <c r="Z22" s="34">
        <v>0.29399378898528655</v>
      </c>
      <c r="AA22" s="34">
        <v>0.26665811906501896</v>
      </c>
      <c r="AB22" s="34">
        <v>0.18061522012635545</v>
      </c>
      <c r="AC22" s="34">
        <v>0.24816099235864905</v>
      </c>
      <c r="AD22" s="34">
        <v>0.20770767247077065</v>
      </c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</row>
    <row r="23" spans="1:167" ht="14.5" x14ac:dyDescent="0.35">
      <c r="A23" s="28" t="s">
        <v>76</v>
      </c>
      <c r="B23" s="33">
        <v>0.22737158272453939</v>
      </c>
      <c r="C23" s="34">
        <v>0.29320996062202698</v>
      </c>
      <c r="D23" s="34">
        <v>0.24258390295694757</v>
      </c>
      <c r="E23" s="34">
        <v>0.18029091057812394</v>
      </c>
      <c r="F23" s="34">
        <v>0.10947481366729878</v>
      </c>
      <c r="G23" s="34">
        <v>0.28784548390682591</v>
      </c>
      <c r="H23" s="34">
        <v>0.25132850650724836</v>
      </c>
      <c r="I23" s="34">
        <v>0.21887926526706222</v>
      </c>
      <c r="J23" s="34">
        <v>0.21861349035627323</v>
      </c>
      <c r="K23" s="34">
        <v>0.24762276373999881</v>
      </c>
      <c r="L23" s="34">
        <v>0.21975309752798627</v>
      </c>
      <c r="M23" s="34">
        <v>0.18119492152944028</v>
      </c>
      <c r="N23" s="34">
        <v>0.20640028883297937</v>
      </c>
      <c r="O23" s="34">
        <v>1</v>
      </c>
      <c r="P23" s="34">
        <v>0.45894578687172205</v>
      </c>
      <c r="Q23" s="34">
        <v>0.39755171226148461</v>
      </c>
      <c r="R23" s="34">
        <v>0.33553109960887356</v>
      </c>
      <c r="S23" s="34">
        <v>0.46841515129400879</v>
      </c>
      <c r="T23" s="34">
        <v>0.26884767046205887</v>
      </c>
      <c r="U23" s="34">
        <v>0.33394264372848897</v>
      </c>
      <c r="V23" s="34">
        <v>0.40208540249459818</v>
      </c>
      <c r="W23" s="34">
        <v>0.33420599922701916</v>
      </c>
      <c r="X23" s="34">
        <v>0.44445541718293602</v>
      </c>
      <c r="Y23" s="34">
        <v>0.47550773320584744</v>
      </c>
      <c r="Z23" s="34">
        <v>0.48221670777387493</v>
      </c>
      <c r="AA23" s="34">
        <v>0.48554162326636058</v>
      </c>
      <c r="AB23" s="34">
        <v>0.56140603053440086</v>
      </c>
      <c r="AC23" s="34">
        <v>0.49948771483290139</v>
      </c>
      <c r="AD23" s="34">
        <v>0.4194272031009067</v>
      </c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</row>
    <row r="24" spans="1:167" ht="14.5" x14ac:dyDescent="0.35">
      <c r="A24" s="28" t="s">
        <v>77</v>
      </c>
      <c r="B24" s="33">
        <v>0.30862591542232864</v>
      </c>
      <c r="C24" s="34">
        <v>0.32982776497108257</v>
      </c>
      <c r="D24" s="34">
        <v>0.30083254826243011</v>
      </c>
      <c r="E24" s="34">
        <v>0.22073591273611337</v>
      </c>
      <c r="F24" s="34">
        <v>6.3258801316452062E-2</v>
      </c>
      <c r="G24" s="34">
        <v>0.30348516576987805</v>
      </c>
      <c r="H24" s="34">
        <v>0.26263946528092835</v>
      </c>
      <c r="I24" s="34">
        <v>0.27784030904226253</v>
      </c>
      <c r="J24" s="34">
        <v>0.25303316900550454</v>
      </c>
      <c r="K24" s="34">
        <v>0.28267989519516495</v>
      </c>
      <c r="L24" s="34">
        <v>0.23905707816422578</v>
      </c>
      <c r="M24" s="34">
        <v>0.23985785766405215</v>
      </c>
      <c r="N24" s="34">
        <v>0.22968869505827452</v>
      </c>
      <c r="O24" s="34">
        <v>0.45894578687172205</v>
      </c>
      <c r="P24" s="34">
        <v>1</v>
      </c>
      <c r="Q24" s="34">
        <v>0.51492661479030766</v>
      </c>
      <c r="R24" s="34">
        <v>0.51015949378439029</v>
      </c>
      <c r="S24" s="34">
        <v>0.42042184187555687</v>
      </c>
      <c r="T24" s="34">
        <v>0.32780164556358726</v>
      </c>
      <c r="U24" s="34">
        <v>0.3983483178460332</v>
      </c>
      <c r="V24" s="34">
        <v>0.40238428488042355</v>
      </c>
      <c r="W24" s="34">
        <v>0.36884019581946142</v>
      </c>
      <c r="X24" s="34">
        <v>0.40806273867229942</v>
      </c>
      <c r="Y24" s="34">
        <v>0.53851027169023058</v>
      </c>
      <c r="Z24" s="34">
        <v>0.45936062738484418</v>
      </c>
      <c r="AA24" s="34">
        <v>0.48498540912579341</v>
      </c>
      <c r="AB24" s="34">
        <v>0.4383280507605668</v>
      </c>
      <c r="AC24" s="34">
        <v>0.4488981788693322</v>
      </c>
      <c r="AD24" s="34">
        <v>0.35748641050295032</v>
      </c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</row>
    <row r="25" spans="1:167" ht="14.5" x14ac:dyDescent="0.35">
      <c r="A25" s="28" t="s">
        <v>78</v>
      </c>
      <c r="B25" s="33">
        <v>0.3583118028280472</v>
      </c>
      <c r="C25" s="34">
        <v>0.34783661148889528</v>
      </c>
      <c r="D25" s="34">
        <v>0.32915930509062041</v>
      </c>
      <c r="E25" s="34">
        <v>0.18266136339496469</v>
      </c>
      <c r="F25" s="34">
        <v>0.11408706834994446</v>
      </c>
      <c r="G25" s="34">
        <v>0.2952508153812205</v>
      </c>
      <c r="H25" s="34">
        <v>0.3020253551769429</v>
      </c>
      <c r="I25" s="34">
        <v>0.22648395140209521</v>
      </c>
      <c r="J25" s="34">
        <v>0.25121914157598474</v>
      </c>
      <c r="K25" s="34">
        <v>0.30998529380584378</v>
      </c>
      <c r="L25" s="34">
        <v>0.29383950013274596</v>
      </c>
      <c r="M25" s="34">
        <v>0.24082870310030807</v>
      </c>
      <c r="N25" s="34">
        <v>0.20710630753579826</v>
      </c>
      <c r="O25" s="34">
        <v>0.39755171226148461</v>
      </c>
      <c r="P25" s="34">
        <v>0.51492661479030766</v>
      </c>
      <c r="Q25" s="34">
        <v>1</v>
      </c>
      <c r="R25" s="34">
        <v>0.52642935607583696</v>
      </c>
      <c r="S25" s="34">
        <v>0.37038196161114018</v>
      </c>
      <c r="T25" s="34">
        <v>0.37401351205501476</v>
      </c>
      <c r="U25" s="34">
        <v>0.44899583900627682</v>
      </c>
      <c r="V25" s="34">
        <v>0.39310875647057408</v>
      </c>
      <c r="W25" s="34">
        <v>0.44836597998056821</v>
      </c>
      <c r="X25" s="34">
        <v>0.43690494136234742</v>
      </c>
      <c r="Y25" s="34">
        <v>0.48885899369825647</v>
      </c>
      <c r="Z25" s="34">
        <v>0.44671027509828232</v>
      </c>
      <c r="AA25" s="34">
        <v>0.50001798121693142</v>
      </c>
      <c r="AB25" s="34">
        <v>0.4285847527930704</v>
      </c>
      <c r="AC25" s="34">
        <v>0.43367308801094046</v>
      </c>
      <c r="AD25" s="34">
        <v>0.37327412888120676</v>
      </c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</row>
    <row r="26" spans="1:167" ht="14.5" x14ac:dyDescent="0.35">
      <c r="A26" s="28" t="s">
        <v>79</v>
      </c>
      <c r="B26" s="33">
        <v>0.46816668078234253</v>
      </c>
      <c r="C26" s="34">
        <v>0.37956752419950368</v>
      </c>
      <c r="D26" s="34">
        <v>0.36255431408575306</v>
      </c>
      <c r="E26" s="34">
        <v>0.14526005503246345</v>
      </c>
      <c r="F26" s="34">
        <v>8.835179358893995E-2</v>
      </c>
      <c r="G26" s="34">
        <v>0.30009842396630454</v>
      </c>
      <c r="H26" s="34">
        <v>0.38648720144727206</v>
      </c>
      <c r="I26" s="34">
        <v>0.21163972375614518</v>
      </c>
      <c r="J26" s="34">
        <v>0.23213213960169302</v>
      </c>
      <c r="K26" s="34">
        <v>0.2868733283648473</v>
      </c>
      <c r="L26" s="34">
        <v>0.32148971004401927</v>
      </c>
      <c r="M26" s="34">
        <v>0.23166824986520945</v>
      </c>
      <c r="N26" s="34">
        <v>0.23948134080671327</v>
      </c>
      <c r="O26" s="34">
        <v>0.33553109960887356</v>
      </c>
      <c r="P26" s="34">
        <v>0.51015949378439029</v>
      </c>
      <c r="Q26" s="34">
        <v>0.52642935607583696</v>
      </c>
      <c r="R26" s="34">
        <v>1</v>
      </c>
      <c r="S26" s="34">
        <v>0.30285524372110839</v>
      </c>
      <c r="T26" s="34">
        <v>0.42333820757319818</v>
      </c>
      <c r="U26" s="34">
        <v>0.46538480956535794</v>
      </c>
      <c r="V26" s="34">
        <v>0.37372529210787253</v>
      </c>
      <c r="W26" s="34">
        <v>0.46646599198305155</v>
      </c>
      <c r="X26" s="34">
        <v>0.41563540238173097</v>
      </c>
      <c r="Y26" s="34">
        <v>0.49100338973618118</v>
      </c>
      <c r="Z26" s="34">
        <v>0.40772795605860901</v>
      </c>
      <c r="AA26" s="34">
        <v>0.49611522877447373</v>
      </c>
      <c r="AB26" s="34">
        <v>0.36066757421795875</v>
      </c>
      <c r="AC26" s="34">
        <v>0.35647491307790452</v>
      </c>
      <c r="AD26" s="34">
        <v>0.31814721794372303</v>
      </c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</row>
    <row r="27" spans="1:167" ht="14.5" x14ac:dyDescent="0.35">
      <c r="A27" s="28" t="s">
        <v>80</v>
      </c>
      <c r="B27" s="33">
        <v>0.20746021429629116</v>
      </c>
      <c r="C27" s="34">
        <v>0.27866078486325691</v>
      </c>
      <c r="D27" s="34">
        <v>0.20586893132862771</v>
      </c>
      <c r="E27" s="34">
        <v>0.16843532361346961</v>
      </c>
      <c r="F27" s="34">
        <v>0.10557686879731189</v>
      </c>
      <c r="G27" s="34">
        <v>0.25563344587493908</v>
      </c>
      <c r="H27" s="34">
        <v>0.22582493397167766</v>
      </c>
      <c r="I27" s="34">
        <v>0.24092563701575498</v>
      </c>
      <c r="J27" s="34">
        <v>0.18825469719980592</v>
      </c>
      <c r="K27" s="34">
        <v>0.25373849149841016</v>
      </c>
      <c r="L27" s="34">
        <v>0.23542375824341463</v>
      </c>
      <c r="M27" s="34">
        <v>0.19389000735980114</v>
      </c>
      <c r="N27" s="34">
        <v>0.20582377299683455</v>
      </c>
      <c r="O27" s="34">
        <v>0.46841515129400879</v>
      </c>
      <c r="P27" s="34">
        <v>0.42042184187555687</v>
      </c>
      <c r="Q27" s="34">
        <v>0.37038196161114018</v>
      </c>
      <c r="R27" s="34">
        <v>0.30285524372110839</v>
      </c>
      <c r="S27" s="34">
        <v>1</v>
      </c>
      <c r="T27" s="34">
        <v>0.23002292976790897</v>
      </c>
      <c r="U27" s="34">
        <v>0.29532530772346055</v>
      </c>
      <c r="V27" s="34">
        <v>0.35417434397973452</v>
      </c>
      <c r="W27" s="34">
        <v>0.29788441749007588</v>
      </c>
      <c r="X27" s="34">
        <v>0.3808889012603634</v>
      </c>
      <c r="Y27" s="34">
        <v>0.39904935011545145</v>
      </c>
      <c r="Z27" s="34">
        <v>0.44654809259981676</v>
      </c>
      <c r="AA27" s="34">
        <v>0.44606927920169781</v>
      </c>
      <c r="AB27" s="34">
        <v>0.45022509871988536</v>
      </c>
      <c r="AC27" s="34">
        <v>0.52052301218741237</v>
      </c>
      <c r="AD27" s="34">
        <v>0.5098160859767823</v>
      </c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</row>
    <row r="28" spans="1:167" ht="14.5" x14ac:dyDescent="0.35">
      <c r="A28" s="28" t="s">
        <v>81</v>
      </c>
      <c r="B28" s="33">
        <v>0.57574669353696439</v>
      </c>
      <c r="C28" s="34">
        <v>0.18605399479486701</v>
      </c>
      <c r="D28" s="34">
        <v>0.17011693787404059</v>
      </c>
      <c r="E28" s="34">
        <v>8.5948091470813018E-2</v>
      </c>
      <c r="F28" s="34">
        <v>5.0411520099768778E-2</v>
      </c>
      <c r="G28" s="34">
        <v>0.11405333513810961</v>
      </c>
      <c r="H28" s="34">
        <v>0.15909110741404028</v>
      </c>
      <c r="I28" s="34">
        <v>0.10039768425638201</v>
      </c>
      <c r="J28" s="34">
        <v>0.11467875210555557</v>
      </c>
      <c r="K28" s="34">
        <v>0.15534207784711665</v>
      </c>
      <c r="L28" s="34">
        <v>0.17384495348215279</v>
      </c>
      <c r="M28" s="34">
        <v>0.12486994029880594</v>
      </c>
      <c r="N28" s="34">
        <v>0.12835977069495072</v>
      </c>
      <c r="O28" s="34">
        <v>0.26884767046205887</v>
      </c>
      <c r="P28" s="34">
        <v>0.32780164556358726</v>
      </c>
      <c r="Q28" s="34">
        <v>0.37401351205501476</v>
      </c>
      <c r="R28" s="34">
        <v>0.42333820757319818</v>
      </c>
      <c r="S28" s="34">
        <v>0.23002292976790897</v>
      </c>
      <c r="T28" s="34">
        <v>1</v>
      </c>
      <c r="U28" s="34">
        <v>0.45700001500347759</v>
      </c>
      <c r="V28" s="34">
        <v>0.3511242275741116</v>
      </c>
      <c r="W28" s="34">
        <v>0.41991898277578654</v>
      </c>
      <c r="X28" s="34">
        <v>0.32380987220195573</v>
      </c>
      <c r="Y28" s="34">
        <v>0.36431945402249677</v>
      </c>
      <c r="Z28" s="34">
        <v>0.30105735531197753</v>
      </c>
      <c r="AA28" s="34">
        <v>0.36678194379245632</v>
      </c>
      <c r="AB28" s="34">
        <v>0.2156875221678248</v>
      </c>
      <c r="AC28" s="34">
        <v>0.26676430081911534</v>
      </c>
      <c r="AD28" s="34">
        <v>0.24759518969631644</v>
      </c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</row>
    <row r="29" spans="1:167" ht="14.5" x14ac:dyDescent="0.35">
      <c r="A29" s="28" t="s">
        <v>82</v>
      </c>
      <c r="B29" s="33">
        <v>0.47275505161318632</v>
      </c>
      <c r="C29" s="34">
        <v>0.28571334924094727</v>
      </c>
      <c r="D29" s="34">
        <v>0.2609745711900065</v>
      </c>
      <c r="E29" s="34">
        <v>9.9495724806552138E-2</v>
      </c>
      <c r="F29" s="34">
        <v>8.8229510457623964E-2</v>
      </c>
      <c r="G29" s="34">
        <v>0.2024077484035566</v>
      </c>
      <c r="H29" s="34">
        <v>0.23181886188338763</v>
      </c>
      <c r="I29" s="34">
        <v>0.12450153443080407</v>
      </c>
      <c r="J29" s="34">
        <v>0.16987852288125874</v>
      </c>
      <c r="K29" s="34">
        <v>0.22317839517376081</v>
      </c>
      <c r="L29" s="34">
        <v>0.21790619022085395</v>
      </c>
      <c r="M29" s="34">
        <v>0.15795439157028526</v>
      </c>
      <c r="N29" s="34">
        <v>0.19069863652025373</v>
      </c>
      <c r="O29" s="34">
        <v>0.33394264372848897</v>
      </c>
      <c r="P29" s="34">
        <v>0.3983483178460332</v>
      </c>
      <c r="Q29" s="34">
        <v>0.44899583900627682</v>
      </c>
      <c r="R29" s="34">
        <v>0.46538480956535794</v>
      </c>
      <c r="S29" s="34">
        <v>0.29532530772346055</v>
      </c>
      <c r="T29" s="34">
        <v>0.45700001500347759</v>
      </c>
      <c r="U29" s="34">
        <v>1</v>
      </c>
      <c r="V29" s="34">
        <v>0.40356519850905881</v>
      </c>
      <c r="W29" s="34">
        <v>0.49123775061020891</v>
      </c>
      <c r="X29" s="34">
        <v>0.38462781441068267</v>
      </c>
      <c r="Y29" s="34">
        <v>0.40279644309911555</v>
      </c>
      <c r="Z29" s="34">
        <v>0.40195860651651422</v>
      </c>
      <c r="AA29" s="34">
        <v>0.37977189646631265</v>
      </c>
      <c r="AB29" s="34">
        <v>0.31911312516938428</v>
      </c>
      <c r="AC29" s="34">
        <v>0.38629997965016405</v>
      </c>
      <c r="AD29" s="34">
        <v>0.32950572143034823</v>
      </c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</row>
    <row r="30" spans="1:167" ht="14.5" x14ac:dyDescent="0.35">
      <c r="A30" s="28" t="s">
        <v>83</v>
      </c>
      <c r="B30" s="33">
        <v>0.3338150157241635</v>
      </c>
      <c r="C30" s="34">
        <v>0.28070754624059147</v>
      </c>
      <c r="D30" s="34">
        <v>0.22446364140766376</v>
      </c>
      <c r="E30" s="34">
        <v>0.17949778029056948</v>
      </c>
      <c r="F30" s="34">
        <v>8.1137366076132242E-2</v>
      </c>
      <c r="G30" s="34">
        <v>0.21441653920071127</v>
      </c>
      <c r="H30" s="34">
        <v>0.2202676742164251</v>
      </c>
      <c r="I30" s="34">
        <v>0.21436978493367281</v>
      </c>
      <c r="J30" s="34">
        <v>0.18176724262319241</v>
      </c>
      <c r="K30" s="34">
        <v>0.22743099140891268</v>
      </c>
      <c r="L30" s="34">
        <v>0.22974712781708795</v>
      </c>
      <c r="M30" s="34">
        <v>0.20712419809900326</v>
      </c>
      <c r="N30" s="34">
        <v>0.24123318704414717</v>
      </c>
      <c r="O30" s="34">
        <v>0.40208540249459818</v>
      </c>
      <c r="P30" s="34">
        <v>0.40238428488042355</v>
      </c>
      <c r="Q30" s="34">
        <v>0.39310875647057408</v>
      </c>
      <c r="R30" s="34">
        <v>0.37372529210787253</v>
      </c>
      <c r="S30" s="34">
        <v>0.35417434397973452</v>
      </c>
      <c r="T30" s="34">
        <v>0.3511242275741116</v>
      </c>
      <c r="U30" s="34">
        <v>0.40356519850905881</v>
      </c>
      <c r="V30" s="34">
        <v>1</v>
      </c>
      <c r="W30" s="34">
        <v>0.40220940121903731</v>
      </c>
      <c r="X30" s="34">
        <v>0.43429205588838377</v>
      </c>
      <c r="Y30" s="34">
        <v>0.40976134972683603</v>
      </c>
      <c r="Z30" s="34">
        <v>0.4391751393493496</v>
      </c>
      <c r="AA30" s="34">
        <v>0.43210261906155256</v>
      </c>
      <c r="AB30" s="34">
        <v>0.40035210473530713</v>
      </c>
      <c r="AC30" s="34">
        <v>0.42163374485325283</v>
      </c>
      <c r="AD30" s="34">
        <v>0.36599150248122014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</row>
    <row r="31" spans="1:167" ht="14.5" x14ac:dyDescent="0.35">
      <c r="A31" s="28" t="s">
        <v>84</v>
      </c>
      <c r="B31" s="33">
        <v>0.44600577008575926</v>
      </c>
      <c r="C31" s="34">
        <v>0.27587982705566716</v>
      </c>
      <c r="D31" s="34">
        <v>0.23150590221657211</v>
      </c>
      <c r="E31" s="34">
        <v>0.13320419769309388</v>
      </c>
      <c r="F31" s="34">
        <v>7.254235384623893E-2</v>
      </c>
      <c r="G31" s="34">
        <v>0.20134179708751668</v>
      </c>
      <c r="H31" s="34">
        <v>0.24870462540500848</v>
      </c>
      <c r="I31" s="34">
        <v>0.1582306444909603</v>
      </c>
      <c r="J31" s="34">
        <v>0.18076317360494537</v>
      </c>
      <c r="K31" s="34">
        <v>0.21641023986325955</v>
      </c>
      <c r="L31" s="34">
        <v>0.20379684704042814</v>
      </c>
      <c r="M31" s="34">
        <v>0.16070131146055083</v>
      </c>
      <c r="N31" s="34">
        <v>0.16927215267922177</v>
      </c>
      <c r="O31" s="34">
        <v>0.33420599922701916</v>
      </c>
      <c r="P31" s="34">
        <v>0.36884019581946142</v>
      </c>
      <c r="Q31" s="34">
        <v>0.44836597998056821</v>
      </c>
      <c r="R31" s="34">
        <v>0.46646599198305155</v>
      </c>
      <c r="S31" s="34">
        <v>0.29788441749007588</v>
      </c>
      <c r="T31" s="34">
        <v>0.41991898277578654</v>
      </c>
      <c r="U31" s="34">
        <v>0.49123775061020891</v>
      </c>
      <c r="V31" s="34">
        <v>0.40220940121903731</v>
      </c>
      <c r="W31" s="34">
        <v>1</v>
      </c>
      <c r="X31" s="34">
        <v>0.39080734568181946</v>
      </c>
      <c r="Y31" s="34">
        <v>0.43378478588087871</v>
      </c>
      <c r="Z31" s="34">
        <v>0.37991928671898456</v>
      </c>
      <c r="AA31" s="34">
        <v>0.4187631656880571</v>
      </c>
      <c r="AB31" s="34">
        <v>0.36596202287902557</v>
      </c>
      <c r="AC31" s="34">
        <v>0.38011190045424625</v>
      </c>
      <c r="AD31" s="34">
        <v>0.34389378455960079</v>
      </c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</row>
    <row r="32" spans="1:167" ht="14.5" x14ac:dyDescent="0.35">
      <c r="A32" s="28" t="s">
        <v>85</v>
      </c>
      <c r="B32" s="33">
        <v>0.28826096474726565</v>
      </c>
      <c r="C32" s="34">
        <v>0.31111248751916337</v>
      </c>
      <c r="D32" s="34">
        <v>0.24166799436508654</v>
      </c>
      <c r="E32" s="34">
        <v>0.21311532902478941</v>
      </c>
      <c r="F32" s="34">
        <v>8.1623540925335747E-2</v>
      </c>
      <c r="G32" s="34">
        <v>0.26946806014755798</v>
      </c>
      <c r="H32" s="34">
        <v>0.27714127339538053</v>
      </c>
      <c r="I32" s="34">
        <v>0.23804286421836993</v>
      </c>
      <c r="J32" s="34">
        <v>0.21098404951549182</v>
      </c>
      <c r="K32" s="34">
        <v>0.24028215669210687</v>
      </c>
      <c r="L32" s="34">
        <v>0.20155747746207284</v>
      </c>
      <c r="M32" s="34">
        <v>0.20670230491585914</v>
      </c>
      <c r="N32" s="34">
        <v>0.20953083462289041</v>
      </c>
      <c r="O32" s="34">
        <v>0.44445541718293602</v>
      </c>
      <c r="P32" s="34">
        <v>0.40806273867229942</v>
      </c>
      <c r="Q32" s="34">
        <v>0.43690494136234742</v>
      </c>
      <c r="R32" s="34">
        <v>0.41563540238173097</v>
      </c>
      <c r="S32" s="34">
        <v>0.3808889012603634</v>
      </c>
      <c r="T32" s="34">
        <v>0.32380987220195573</v>
      </c>
      <c r="U32" s="34">
        <v>0.38462781441068267</v>
      </c>
      <c r="V32" s="34">
        <v>0.43429205588838377</v>
      </c>
      <c r="W32" s="34">
        <v>0.39080734568181946</v>
      </c>
      <c r="X32" s="34">
        <v>1</v>
      </c>
      <c r="Y32" s="34">
        <v>0.48805968854291182</v>
      </c>
      <c r="Z32" s="34">
        <v>0.46235149223056576</v>
      </c>
      <c r="AA32" s="34">
        <v>0.46946693048210186</v>
      </c>
      <c r="AB32" s="34">
        <v>0.46700388556049149</v>
      </c>
      <c r="AC32" s="34">
        <v>0.46020989662461081</v>
      </c>
      <c r="AD32" s="34">
        <v>0.40951948330690929</v>
      </c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</row>
    <row r="33" spans="1:167" ht="14.5" x14ac:dyDescent="0.35">
      <c r="A33" s="28" t="s">
        <v>86</v>
      </c>
      <c r="B33" s="33">
        <v>0.33495212030675481</v>
      </c>
      <c r="C33" s="34">
        <v>0.35732954341594747</v>
      </c>
      <c r="D33" s="34">
        <v>0.31408142614181267</v>
      </c>
      <c r="E33" s="34">
        <v>0.17555931689244428</v>
      </c>
      <c r="F33" s="34">
        <v>7.2375608390288948E-2</v>
      </c>
      <c r="G33" s="34">
        <v>0.31194786682187847</v>
      </c>
      <c r="H33" s="34">
        <v>0.31162086609267453</v>
      </c>
      <c r="I33" s="34">
        <v>0.24560228647078744</v>
      </c>
      <c r="J33" s="34">
        <v>0.23879152394674283</v>
      </c>
      <c r="K33" s="34">
        <v>0.28994819623067414</v>
      </c>
      <c r="L33" s="34">
        <v>0.27416580235052057</v>
      </c>
      <c r="M33" s="34">
        <v>0.24026228013498241</v>
      </c>
      <c r="N33" s="34">
        <v>0.25705468755862693</v>
      </c>
      <c r="O33" s="34">
        <v>0.47550773320584744</v>
      </c>
      <c r="P33" s="34">
        <v>0.53851027169023058</v>
      </c>
      <c r="Q33" s="34">
        <v>0.48885899369825647</v>
      </c>
      <c r="R33" s="34">
        <v>0.49100338973618118</v>
      </c>
      <c r="S33" s="34">
        <v>0.39904935011545145</v>
      </c>
      <c r="T33" s="34">
        <v>0.36431945402249677</v>
      </c>
      <c r="U33" s="34">
        <v>0.40279644309911555</v>
      </c>
      <c r="V33" s="34">
        <v>0.40976134972683603</v>
      </c>
      <c r="W33" s="34">
        <v>0.43378478588087871</v>
      </c>
      <c r="X33" s="34">
        <v>0.48805968854291182</v>
      </c>
      <c r="Y33" s="34">
        <v>1</v>
      </c>
      <c r="Z33" s="34">
        <v>0.51367151482455342</v>
      </c>
      <c r="AA33" s="34">
        <v>0.59283044438114152</v>
      </c>
      <c r="AB33" s="34">
        <v>0.45568551652779371</v>
      </c>
      <c r="AC33" s="34">
        <v>0.48291998246025153</v>
      </c>
      <c r="AD33" s="34">
        <v>0.38868454104380257</v>
      </c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</row>
    <row r="34" spans="1:167" ht="14.5" x14ac:dyDescent="0.35">
      <c r="A34" s="28" t="s">
        <v>87</v>
      </c>
      <c r="B34" s="33">
        <v>0.28437336995930212</v>
      </c>
      <c r="C34" s="34">
        <v>0.35322264368075712</v>
      </c>
      <c r="D34" s="34">
        <v>0.29875480698070345</v>
      </c>
      <c r="E34" s="34">
        <v>0.19757080941979535</v>
      </c>
      <c r="F34" s="34">
        <v>6.8290254219144073E-2</v>
      </c>
      <c r="G34" s="34">
        <v>0.3337867397961734</v>
      </c>
      <c r="H34" s="34">
        <v>0.3081488182842661</v>
      </c>
      <c r="I34" s="34">
        <v>0.2866545088907953</v>
      </c>
      <c r="J34" s="34">
        <v>0.23256194160458776</v>
      </c>
      <c r="K34" s="34">
        <v>0.29926093697213263</v>
      </c>
      <c r="L34" s="34">
        <v>0.25344808404929725</v>
      </c>
      <c r="M34" s="34">
        <v>0.27133212612468816</v>
      </c>
      <c r="N34" s="34">
        <v>0.29399378898528655</v>
      </c>
      <c r="O34" s="34">
        <v>0.48221670777387493</v>
      </c>
      <c r="P34" s="34">
        <v>0.45936062738484418</v>
      </c>
      <c r="Q34" s="34">
        <v>0.44671027509828232</v>
      </c>
      <c r="R34" s="34">
        <v>0.40772795605860901</v>
      </c>
      <c r="S34" s="34">
        <v>0.44654809259981676</v>
      </c>
      <c r="T34" s="34">
        <v>0.30105735531197753</v>
      </c>
      <c r="U34" s="34">
        <v>0.40195860651651422</v>
      </c>
      <c r="V34" s="34">
        <v>0.4391751393493496</v>
      </c>
      <c r="W34" s="34">
        <v>0.37991928671898456</v>
      </c>
      <c r="X34" s="34">
        <v>0.46235149223056576</v>
      </c>
      <c r="Y34" s="34">
        <v>0.51367151482455342</v>
      </c>
      <c r="Z34" s="34">
        <v>1</v>
      </c>
      <c r="AA34" s="34">
        <v>0.5272698357572303</v>
      </c>
      <c r="AB34" s="34">
        <v>0.51272465615061869</v>
      </c>
      <c r="AC34" s="34">
        <v>0.56433915027663972</v>
      </c>
      <c r="AD34" s="34">
        <v>0.46025658230476013</v>
      </c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</row>
    <row r="35" spans="1:167" ht="14.5" x14ac:dyDescent="0.35">
      <c r="A35" s="28" t="s">
        <v>88</v>
      </c>
      <c r="B35" s="33">
        <v>0.32725834461111386</v>
      </c>
      <c r="C35" s="34">
        <v>0.35720190435499222</v>
      </c>
      <c r="D35" s="34">
        <v>0.34711413136084029</v>
      </c>
      <c r="E35" s="34">
        <v>0.13742135011185555</v>
      </c>
      <c r="F35" s="34">
        <v>5.9350064666996133E-2</v>
      </c>
      <c r="G35" s="34">
        <v>0.32339703425583821</v>
      </c>
      <c r="H35" s="34">
        <v>0.33763744800111145</v>
      </c>
      <c r="I35" s="34">
        <v>0.22102068576728351</v>
      </c>
      <c r="J35" s="34">
        <v>0.21748764974904178</v>
      </c>
      <c r="K35" s="34">
        <v>0.31503844064454706</v>
      </c>
      <c r="L35" s="34">
        <v>0.27759208445201011</v>
      </c>
      <c r="M35" s="34">
        <v>0.24237061972188254</v>
      </c>
      <c r="N35" s="34">
        <v>0.26665811906501896</v>
      </c>
      <c r="O35" s="34">
        <v>0.48554162326636058</v>
      </c>
      <c r="P35" s="34">
        <v>0.48498540912579341</v>
      </c>
      <c r="Q35" s="34">
        <v>0.50001798121693142</v>
      </c>
      <c r="R35" s="34">
        <v>0.49611522877447373</v>
      </c>
      <c r="S35" s="34">
        <v>0.44606927920169781</v>
      </c>
      <c r="T35" s="34">
        <v>0.36678194379245632</v>
      </c>
      <c r="U35" s="34">
        <v>0.37977189646631265</v>
      </c>
      <c r="V35" s="34">
        <v>0.43210261906155256</v>
      </c>
      <c r="W35" s="34">
        <v>0.4187631656880571</v>
      </c>
      <c r="X35" s="34">
        <v>0.46946693048210186</v>
      </c>
      <c r="Y35" s="34">
        <v>0.59283044438114152</v>
      </c>
      <c r="Z35" s="34">
        <v>0.5272698357572303</v>
      </c>
      <c r="AA35" s="34">
        <v>1</v>
      </c>
      <c r="AB35" s="34">
        <v>0.46730690178669215</v>
      </c>
      <c r="AC35" s="34">
        <v>0.54441529104407227</v>
      </c>
      <c r="AD35" s="34">
        <v>0.38624448900487718</v>
      </c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</row>
    <row r="36" spans="1:167" ht="14.5" x14ac:dyDescent="0.35">
      <c r="A36" s="28" t="s">
        <v>89</v>
      </c>
      <c r="B36" s="33">
        <v>0.20425528899926643</v>
      </c>
      <c r="C36" s="34">
        <v>0.27165455534209154</v>
      </c>
      <c r="D36" s="34">
        <v>0.24965977724311633</v>
      </c>
      <c r="E36" s="34">
        <v>0.16932584033647444</v>
      </c>
      <c r="F36" s="34">
        <v>8.0138384397922716E-2</v>
      </c>
      <c r="G36" s="34">
        <v>0.28751554816776803</v>
      </c>
      <c r="H36" s="34">
        <v>0.22788395689562288</v>
      </c>
      <c r="I36" s="34">
        <v>0.20428738514817205</v>
      </c>
      <c r="J36" s="34">
        <v>0.2017490827973849</v>
      </c>
      <c r="K36" s="34">
        <v>0.21917500284887842</v>
      </c>
      <c r="L36" s="34">
        <v>0.18647062535816555</v>
      </c>
      <c r="M36" s="34">
        <v>0.18829632495336415</v>
      </c>
      <c r="N36" s="34">
        <v>0.18061522012635545</v>
      </c>
      <c r="O36" s="34">
        <v>0.56140603053440086</v>
      </c>
      <c r="P36" s="34">
        <v>0.4383280507605668</v>
      </c>
      <c r="Q36" s="34">
        <v>0.4285847527930704</v>
      </c>
      <c r="R36" s="34">
        <v>0.36066757421795875</v>
      </c>
      <c r="S36" s="34">
        <v>0.45022509871988536</v>
      </c>
      <c r="T36" s="34">
        <v>0.2156875221678248</v>
      </c>
      <c r="U36" s="34">
        <v>0.31911312516938428</v>
      </c>
      <c r="V36" s="34">
        <v>0.40035210473530713</v>
      </c>
      <c r="W36" s="34">
        <v>0.36596202287902557</v>
      </c>
      <c r="X36" s="34">
        <v>0.46700388556049149</v>
      </c>
      <c r="Y36" s="34">
        <v>0.45568551652779371</v>
      </c>
      <c r="Z36" s="34">
        <v>0.51272465615061869</v>
      </c>
      <c r="AA36" s="34">
        <v>0.46730690178669215</v>
      </c>
      <c r="AB36" s="34">
        <v>1</v>
      </c>
      <c r="AC36" s="34">
        <v>0.51366613554947005</v>
      </c>
      <c r="AD36" s="34">
        <v>0.44696952435787496</v>
      </c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</row>
    <row r="37" spans="1:167" ht="14.5" x14ac:dyDescent="0.35">
      <c r="A37" s="28" t="s">
        <v>90</v>
      </c>
      <c r="B37" s="33">
        <v>0.27114896109394088</v>
      </c>
      <c r="C37" s="34">
        <v>0.33676432627368785</v>
      </c>
      <c r="D37" s="34">
        <v>0.30887502815037809</v>
      </c>
      <c r="E37" s="34">
        <v>0.17033222637259623</v>
      </c>
      <c r="F37" s="34">
        <v>0.10255243188143286</v>
      </c>
      <c r="G37" s="34">
        <v>0.31984634250797511</v>
      </c>
      <c r="H37" s="34">
        <v>0.2841982063270182</v>
      </c>
      <c r="I37" s="34">
        <v>0.25148060074621087</v>
      </c>
      <c r="J37" s="34">
        <v>0.21263955031705986</v>
      </c>
      <c r="K37" s="34">
        <v>0.31145778290194798</v>
      </c>
      <c r="L37" s="34">
        <v>0.25463785983209797</v>
      </c>
      <c r="M37" s="34">
        <v>0.26136276669462116</v>
      </c>
      <c r="N37" s="34">
        <v>0.24816099235864905</v>
      </c>
      <c r="O37" s="34">
        <v>0.49948771483290139</v>
      </c>
      <c r="P37" s="34">
        <v>0.4488981788693322</v>
      </c>
      <c r="Q37" s="34">
        <v>0.43367308801094046</v>
      </c>
      <c r="R37" s="34">
        <v>0.35647491307790452</v>
      </c>
      <c r="S37" s="34">
        <v>0.52052301218741237</v>
      </c>
      <c r="T37" s="34">
        <v>0.26676430081911534</v>
      </c>
      <c r="U37" s="34">
        <v>0.38629997965016405</v>
      </c>
      <c r="V37" s="34">
        <v>0.42163374485325283</v>
      </c>
      <c r="W37" s="34">
        <v>0.38011190045424625</v>
      </c>
      <c r="X37" s="34">
        <v>0.46020989662461081</v>
      </c>
      <c r="Y37" s="34">
        <v>0.48291998246025153</v>
      </c>
      <c r="Z37" s="34">
        <v>0.56433915027663972</v>
      </c>
      <c r="AA37" s="34">
        <v>0.54441529104407227</v>
      </c>
      <c r="AB37" s="34">
        <v>0.51366613554947005</v>
      </c>
      <c r="AC37" s="34">
        <v>1</v>
      </c>
      <c r="AD37" s="34">
        <v>0.46982552472098094</v>
      </c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</row>
    <row r="38" spans="1:167" ht="14.5" x14ac:dyDescent="0.35">
      <c r="A38" s="28" t="s">
        <v>91</v>
      </c>
      <c r="B38" s="33">
        <v>0.23616920205409722</v>
      </c>
      <c r="C38" s="34">
        <v>0.2798855370796034</v>
      </c>
      <c r="D38" s="34">
        <v>0.19364133524585633</v>
      </c>
      <c r="E38" s="34">
        <v>0.16631963261204916</v>
      </c>
      <c r="F38" s="34">
        <v>7.8804798693627665E-2</v>
      </c>
      <c r="G38" s="34">
        <v>0.25139675971708841</v>
      </c>
      <c r="H38" s="34">
        <v>0.22599884108478369</v>
      </c>
      <c r="I38" s="34">
        <v>0.2168992951421008</v>
      </c>
      <c r="J38" s="34">
        <v>0.1859229438378632</v>
      </c>
      <c r="K38" s="34">
        <v>0.20113798921767892</v>
      </c>
      <c r="L38" s="34">
        <v>0.21766901298493654</v>
      </c>
      <c r="M38" s="34">
        <v>0.17438334898957727</v>
      </c>
      <c r="N38" s="34">
        <v>0.20770767247077065</v>
      </c>
      <c r="O38" s="34">
        <v>0.4194272031009067</v>
      </c>
      <c r="P38" s="34">
        <v>0.35748641050295032</v>
      </c>
      <c r="Q38" s="34">
        <v>0.37327412888120676</v>
      </c>
      <c r="R38" s="34">
        <v>0.31814721794372303</v>
      </c>
      <c r="S38" s="34">
        <v>0.5098160859767823</v>
      </c>
      <c r="T38" s="34">
        <v>0.24759518969631644</v>
      </c>
      <c r="U38" s="34">
        <v>0.32950572143034823</v>
      </c>
      <c r="V38" s="34">
        <v>0.36599150248122014</v>
      </c>
      <c r="W38" s="34">
        <v>0.34389378455960079</v>
      </c>
      <c r="X38" s="34">
        <v>0.40951948330690929</v>
      </c>
      <c r="Y38" s="34">
        <v>0.38868454104380257</v>
      </c>
      <c r="Z38" s="34">
        <v>0.46025658230476013</v>
      </c>
      <c r="AA38" s="34">
        <v>0.38624448900487718</v>
      </c>
      <c r="AB38" s="34">
        <v>0.44696952435787496</v>
      </c>
      <c r="AC38" s="34">
        <v>0.46982552472098094</v>
      </c>
      <c r="AD38" s="34">
        <v>1</v>
      </c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</row>
    <row r="39" spans="1:167" ht="14.5" x14ac:dyDescent="0.35">
      <c r="B39" s="33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</row>
    <row r="40" spans="1:167" ht="14.5" x14ac:dyDescent="0.35">
      <c r="B40" s="33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</row>
    <row r="41" spans="1:167" ht="14.5" x14ac:dyDescent="0.35">
      <c r="B41" s="33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</row>
    <row r="42" spans="1:167" ht="14.5" x14ac:dyDescent="0.35">
      <c r="B42" s="33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</row>
    <row r="43" spans="1:167" ht="14.5" x14ac:dyDescent="0.35">
      <c r="B43" s="33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</row>
    <row r="44" spans="1:167" ht="14.5" x14ac:dyDescent="0.35">
      <c r="B44" s="33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</row>
    <row r="45" spans="1:167" ht="14.5" x14ac:dyDescent="0.35">
      <c r="B45" s="33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</row>
    <row r="46" spans="1:167" ht="14.5" x14ac:dyDescent="0.35">
      <c r="B46" s="33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</row>
    <row r="47" spans="1:167" ht="14.5" x14ac:dyDescent="0.35">
      <c r="B47" s="33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</row>
    <row r="48" spans="1:167" ht="14.5" x14ac:dyDescent="0.35">
      <c r="B48" s="33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</row>
    <row r="49" spans="1:167" ht="14.5" x14ac:dyDescent="0.35">
      <c r="B49" s="33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</row>
    <row r="50" spans="1:167" ht="14.5" x14ac:dyDescent="0.35">
      <c r="B50" s="33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</row>
    <row r="51" spans="1:167" ht="14.5" x14ac:dyDescent="0.35">
      <c r="B51" s="33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</row>
    <row r="52" spans="1:167" ht="14.5" x14ac:dyDescent="0.35">
      <c r="B52" s="33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</row>
    <row r="53" spans="1:167" ht="14.5" x14ac:dyDescent="0.35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</row>
    <row r="54" spans="1:167" ht="14.5" x14ac:dyDescent="0.35">
      <c r="B54" s="33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</row>
    <row r="55" spans="1:167" ht="14.5" x14ac:dyDescent="0.35">
      <c r="A55" s="33"/>
      <c r="B55" s="33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</row>
    <row r="56" spans="1:167" ht="14.5" x14ac:dyDescent="0.35">
      <c r="A56" s="33"/>
      <c r="B56" s="33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</row>
    <row r="57" spans="1:167" ht="14.5" x14ac:dyDescent="0.35">
      <c r="A57" s="33"/>
      <c r="B57" s="33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</row>
    <row r="58" spans="1:167" ht="14.5" x14ac:dyDescent="0.35">
      <c r="A58" s="33"/>
      <c r="B58" s="3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</row>
    <row r="59" spans="1:167" ht="14.5" x14ac:dyDescent="0.35">
      <c r="A59" s="33"/>
      <c r="B59" s="3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</row>
    <row r="60" spans="1:167" ht="14.5" x14ac:dyDescent="0.35">
      <c r="A60" s="33"/>
      <c r="B60" s="3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</row>
    <row r="61" spans="1:167" ht="14.5" x14ac:dyDescent="0.35">
      <c r="A61" s="33"/>
      <c r="B61" s="33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</row>
    <row r="62" spans="1:167" ht="14.5" x14ac:dyDescent="0.35">
      <c r="A62" s="33"/>
      <c r="B62" s="33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</row>
    <row r="63" spans="1:167" ht="14.5" x14ac:dyDescent="0.35">
      <c r="A63" s="33"/>
      <c r="B63" s="3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</row>
    <row r="64" spans="1:167" ht="14.5" x14ac:dyDescent="0.35">
      <c r="A64" s="33"/>
      <c r="B64" s="33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</row>
    <row r="65" spans="2:167" ht="14.5" x14ac:dyDescent="0.35">
      <c r="B65" s="33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</row>
    <row r="66" spans="2:167" ht="14.5" x14ac:dyDescent="0.35">
      <c r="B66" s="33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</row>
    <row r="67" spans="2:167" ht="14.5" x14ac:dyDescent="0.35">
      <c r="B67" s="33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</row>
    <row r="68" spans="2:167" ht="14.5" x14ac:dyDescent="0.35">
      <c r="B68" s="33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</row>
    <row r="69" spans="2:167" ht="14.5" x14ac:dyDescent="0.35">
      <c r="B69" s="33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</row>
    <row r="70" spans="2:167" ht="14.5" x14ac:dyDescent="0.35">
      <c r="B70" s="33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</row>
    <row r="71" spans="2:167" ht="14.5" x14ac:dyDescent="0.35">
      <c r="B71" s="33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</row>
    <row r="72" spans="2:167" ht="14.5" x14ac:dyDescent="0.35">
      <c r="B72" s="33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</row>
    <row r="73" spans="2:167" ht="14.5" x14ac:dyDescent="0.35">
      <c r="B73" s="33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</row>
    <row r="74" spans="2:167" ht="14.5" x14ac:dyDescent="0.35">
      <c r="B74" s="33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</row>
    <row r="75" spans="2:167" ht="14.5" x14ac:dyDescent="0.35">
      <c r="B75" s="33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</row>
    <row r="76" spans="2:167" ht="14.5" x14ac:dyDescent="0.35">
      <c r="B76" s="33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</row>
    <row r="77" spans="2:167" ht="14.5" x14ac:dyDescent="0.35">
      <c r="B77" s="33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</row>
    <row r="78" spans="2:167" ht="14.5" x14ac:dyDescent="0.35">
      <c r="B78" s="33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</row>
    <row r="79" spans="2:167" ht="14.5" x14ac:dyDescent="0.35">
      <c r="B79" s="33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</row>
    <row r="80" spans="2:167" ht="14.5" x14ac:dyDescent="0.35">
      <c r="B80" s="33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</row>
    <row r="81" spans="2:167" ht="14.5" x14ac:dyDescent="0.35">
      <c r="B81" s="33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</row>
    <row r="82" spans="2:167" ht="14.5" x14ac:dyDescent="0.35">
      <c r="B82" s="33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</row>
    <row r="83" spans="2:167" ht="14.5" x14ac:dyDescent="0.35">
      <c r="B83" s="33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</row>
    <row r="84" spans="2:167" ht="14.5" x14ac:dyDescent="0.35">
      <c r="B84" s="33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</row>
    <row r="85" spans="2:167" ht="14.5" x14ac:dyDescent="0.35">
      <c r="B85" s="33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</row>
    <row r="86" spans="2:167" ht="14.5" x14ac:dyDescent="0.35">
      <c r="B86" s="33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</row>
    <row r="87" spans="2:167" ht="14.5" x14ac:dyDescent="0.35">
      <c r="B87" s="33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</row>
    <row r="88" spans="2:167" ht="14.5" x14ac:dyDescent="0.35">
      <c r="B88" s="33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</row>
    <row r="89" spans="2:167" ht="14.5" x14ac:dyDescent="0.35">
      <c r="B89" s="33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</row>
    <row r="90" spans="2:167" ht="14.5" x14ac:dyDescent="0.35">
      <c r="B90" s="33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</row>
    <row r="91" spans="2:167" ht="14.5" x14ac:dyDescent="0.35">
      <c r="B91" s="33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</row>
    <row r="92" spans="2:167" ht="14.5" x14ac:dyDescent="0.35">
      <c r="B92" s="33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</row>
    <row r="93" spans="2:167" ht="14.5" x14ac:dyDescent="0.35">
      <c r="B93" s="33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</row>
    <row r="94" spans="2:167" ht="14.5" x14ac:dyDescent="0.35">
      <c r="B94" s="33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</row>
    <row r="95" spans="2:167" ht="14.5" x14ac:dyDescent="0.35">
      <c r="B95" s="33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</row>
    <row r="96" spans="2:167" ht="14.5" x14ac:dyDescent="0.35">
      <c r="B96" s="3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</row>
    <row r="97" spans="2:167" ht="14.5" x14ac:dyDescent="0.35">
      <c r="B97" s="33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</row>
    <row r="98" spans="2:167" ht="14.5" x14ac:dyDescent="0.35">
      <c r="B98" s="33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</row>
    <row r="99" spans="2:167" ht="14.5" x14ac:dyDescent="0.35">
      <c r="B99" s="33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</row>
    <row r="100" spans="2:167" ht="14.5" x14ac:dyDescent="0.35">
      <c r="B100" s="33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</row>
    <row r="101" spans="2:167" ht="14.5" x14ac:dyDescent="0.35">
      <c r="B101" s="33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</row>
    <row r="102" spans="2:167" ht="14.5" x14ac:dyDescent="0.35">
      <c r="B102" s="33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</row>
    <row r="103" spans="2:167" ht="14.5" x14ac:dyDescent="0.35">
      <c r="B103" s="33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</row>
    <row r="104" spans="2:167" ht="14.5" x14ac:dyDescent="0.35">
      <c r="B104" s="33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</row>
    <row r="105" spans="2:167" ht="14.5" x14ac:dyDescent="0.35">
      <c r="B105" s="33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</row>
    <row r="106" spans="2:167" ht="14.5" x14ac:dyDescent="0.35">
      <c r="B106" s="33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</row>
    <row r="107" spans="2:167" ht="14.5" x14ac:dyDescent="0.35">
      <c r="B107" s="33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</row>
    <row r="108" spans="2:167" ht="14.5" x14ac:dyDescent="0.35">
      <c r="B108" s="33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</row>
    <row r="109" spans="2:167" ht="14.5" x14ac:dyDescent="0.35">
      <c r="B109" s="33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</row>
    <row r="110" spans="2:167" ht="14.5" x14ac:dyDescent="0.35">
      <c r="B110" s="33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</row>
    <row r="111" spans="2:167" ht="14.5" x14ac:dyDescent="0.35">
      <c r="B111" s="33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</row>
    <row r="112" spans="2:167" ht="14.5" x14ac:dyDescent="0.35">
      <c r="B112" s="33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</row>
    <row r="113" spans="2:167" ht="14.5" x14ac:dyDescent="0.35">
      <c r="B113" s="33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</row>
    <row r="114" spans="2:167" ht="14.5" x14ac:dyDescent="0.35">
      <c r="B114" s="33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</row>
    <row r="115" spans="2:167" ht="14.5" x14ac:dyDescent="0.35">
      <c r="B115" s="33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</row>
    <row r="116" spans="2:167" ht="14.5" x14ac:dyDescent="0.35">
      <c r="B116" s="33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</row>
    <row r="117" spans="2:167" ht="14.5" x14ac:dyDescent="0.35">
      <c r="B117" s="33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</row>
    <row r="118" spans="2:167" ht="14.5" x14ac:dyDescent="0.35">
      <c r="B118" s="33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</row>
    <row r="119" spans="2:167" ht="14.5" x14ac:dyDescent="0.35">
      <c r="B119" s="33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</row>
    <row r="120" spans="2:167" ht="14.5" x14ac:dyDescent="0.35">
      <c r="B120" s="33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</row>
    <row r="121" spans="2:167" ht="14.5" x14ac:dyDescent="0.35">
      <c r="B121" s="33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</row>
    <row r="122" spans="2:167" ht="14.5" x14ac:dyDescent="0.35">
      <c r="B122" s="33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</row>
    <row r="123" spans="2:167" ht="14.5" x14ac:dyDescent="0.35">
      <c r="B123" s="33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</row>
    <row r="124" spans="2:167" ht="14.5" x14ac:dyDescent="0.35">
      <c r="B124" s="33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</row>
    <row r="125" spans="2:167" ht="14.5" x14ac:dyDescent="0.35">
      <c r="B125" s="33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</row>
    <row r="126" spans="2:167" ht="14.5" x14ac:dyDescent="0.35">
      <c r="B126" s="33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</row>
    <row r="127" spans="2:167" ht="14.5" x14ac:dyDescent="0.35">
      <c r="B127" s="33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</row>
    <row r="128" spans="2:167" ht="14.5" x14ac:dyDescent="0.35">
      <c r="B128" s="33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</row>
    <row r="129" spans="2:167" ht="14.5" x14ac:dyDescent="0.35">
      <c r="B129" s="33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</row>
    <row r="130" spans="2:167" ht="14.5" x14ac:dyDescent="0.35">
      <c r="B130" s="33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</row>
    <row r="131" spans="2:167" ht="14.5" x14ac:dyDescent="0.35">
      <c r="B131" s="33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</row>
    <row r="132" spans="2:167" ht="14.5" x14ac:dyDescent="0.35">
      <c r="B132" s="33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</row>
    <row r="133" spans="2:167" ht="14.5" x14ac:dyDescent="0.35">
      <c r="B133" s="33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</row>
    <row r="134" spans="2:167" ht="14.5" x14ac:dyDescent="0.35">
      <c r="B134" s="33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</row>
    <row r="135" spans="2:167" ht="14.5" x14ac:dyDescent="0.35">
      <c r="B135" s="33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</row>
    <row r="136" spans="2:167" ht="14.5" x14ac:dyDescent="0.35">
      <c r="B136" s="33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</row>
    <row r="137" spans="2:167" ht="14.5" x14ac:dyDescent="0.35">
      <c r="B137" s="33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</row>
    <row r="138" spans="2:167" ht="14.5" x14ac:dyDescent="0.35">
      <c r="B138" s="33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</row>
    <row r="139" spans="2:167" ht="14.5" x14ac:dyDescent="0.35">
      <c r="B139" s="33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</row>
    <row r="140" spans="2:167" ht="14.5" x14ac:dyDescent="0.35">
      <c r="B140" s="33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</row>
    <row r="141" spans="2:167" ht="14.5" x14ac:dyDescent="0.35">
      <c r="B141" s="33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</row>
    <row r="142" spans="2:167" ht="14.5" x14ac:dyDescent="0.35">
      <c r="B142" s="33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</row>
    <row r="143" spans="2:167" ht="14.5" x14ac:dyDescent="0.35">
      <c r="B143" s="33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</row>
    <row r="144" spans="2:167" ht="14.5" x14ac:dyDescent="0.35">
      <c r="B144" s="33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</row>
    <row r="145" spans="2:167" ht="14.5" x14ac:dyDescent="0.35">
      <c r="B145" s="33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</row>
    <row r="146" spans="2:167" ht="14.5" x14ac:dyDescent="0.35">
      <c r="B146" s="33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</row>
    <row r="147" spans="2:167" ht="14.5" x14ac:dyDescent="0.35">
      <c r="B147" s="33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</row>
    <row r="148" spans="2:167" ht="14.5" x14ac:dyDescent="0.35">
      <c r="B148" s="33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</row>
    <row r="149" spans="2:167" ht="14.5" x14ac:dyDescent="0.35">
      <c r="B149" s="33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</row>
    <row r="150" spans="2:167" ht="14.5" x14ac:dyDescent="0.35">
      <c r="B150" s="33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</row>
    <row r="151" spans="2:167" ht="14.5" x14ac:dyDescent="0.35">
      <c r="B151" s="33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</row>
    <row r="152" spans="2:167" ht="14.5" x14ac:dyDescent="0.35">
      <c r="B152" s="33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</row>
  </sheetData>
  <conditionalFormatting sqref="C52:F143 D11:F51 AR11:AT108 G11:AQ152 AU11:FK152 E144:E152">
    <cfRule type="expression" dxfId="29" priority="18" stopIfTrue="1">
      <formula>IF(C11=1,1,0)</formula>
    </cfRule>
    <cfRule type="expression" dxfId="28" priority="19" stopIfTrue="1">
      <formula>IF(C11&gt;$B$8,1,0)</formula>
    </cfRule>
  </conditionalFormatting>
  <conditionalFormatting sqref="A65:A143">
    <cfRule type="expression" dxfId="27" priority="17" stopIfTrue="1">
      <formula>IF(B65&lt;0.1,1,0)</formula>
    </cfRule>
  </conditionalFormatting>
  <conditionalFormatting sqref="C144:C152">
    <cfRule type="expression" dxfId="26" priority="15" stopIfTrue="1">
      <formula>IF(C144=1,1,0)</formula>
    </cfRule>
    <cfRule type="expression" dxfId="25" priority="16" stopIfTrue="1">
      <formula>IF(C144&gt;$B$8,1,0)</formula>
    </cfRule>
  </conditionalFormatting>
  <conditionalFormatting sqref="A144:A152">
    <cfRule type="expression" dxfId="24" priority="14" stopIfTrue="1">
      <formula>IF(B144&lt;0.1,1,0)</formula>
    </cfRule>
  </conditionalFormatting>
  <conditionalFormatting sqref="F144:F152">
    <cfRule type="expression" dxfId="23" priority="12" stopIfTrue="1">
      <formula>IF(F144=1,1,0)</formula>
    </cfRule>
    <cfRule type="expression" dxfId="22" priority="13" stopIfTrue="1">
      <formula>IF(F144&gt;$B$8,1,0)</formula>
    </cfRule>
  </conditionalFormatting>
  <conditionalFormatting sqref="B144:B1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4:C15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4:C15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4:D152">
    <cfRule type="expression" dxfId="21" priority="7" stopIfTrue="1">
      <formula>IF(D144=1,1,0)</formula>
    </cfRule>
    <cfRule type="expression" dxfId="20" priority="8" stopIfTrue="1">
      <formula>IF(D144&gt;$B$8,1,0)</formula>
    </cfRule>
  </conditionalFormatting>
  <conditionalFormatting sqref="C144:C1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4:B1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14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:C14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5:A6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">
    <cfRule type="expression" dxfId="19" priority="2" stopIfTrue="1">
      <formula>IF(C11=1,1,0)</formula>
    </cfRule>
    <cfRule type="expression" dxfId="18" priority="3" stopIfTrue="1">
      <formula>IF(C11&gt;$B$8,1,0)</formula>
    </cfRule>
  </conditionalFormatting>
  <conditionalFormatting sqref="B11:B1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C5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01" r:id="rId4" name="cmdEditLabels">
          <controlPr defaultSize="0" autoLine="0" r:id="rId5">
            <anchor moveWithCells="1">
              <from>
                <xdr:col>2</xdr:col>
                <xdr:colOff>0</xdr:colOff>
                <xdr:row>0</xdr:row>
                <xdr:rowOff>82550</xdr:rowOff>
              </from>
              <to>
                <xdr:col>2</xdr:col>
                <xdr:colOff>6350</xdr:colOff>
                <xdr:row>3</xdr:row>
                <xdr:rowOff>107950</xdr:rowOff>
              </to>
            </anchor>
          </controlPr>
        </control>
      </mc:Choice>
      <mc:Fallback>
        <control shapeId="51201" r:id="rId4" name="cmdEditLabel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30BC-FD69-4114-871F-5205042B9D1C}">
  <sheetPr codeName="Sheet17">
    <tabColor rgb="FF0070C0"/>
  </sheetPr>
  <dimension ref="A1:FK152"/>
  <sheetViews>
    <sheetView zoomScale="60" zoomScaleNormal="60" workbookViewId="0">
      <pane xSplit="2" ySplit="10" topLeftCell="C11" activePane="bottomRight" state="frozen"/>
      <selection pane="topRight" activeCell="B10" sqref="B10"/>
      <selection pane="bottomLeft" activeCell="B10" sqref="B10"/>
      <selection pane="bottomRight"/>
    </sheetView>
  </sheetViews>
  <sheetFormatPr defaultColWidth="10.36328125" defaultRowHeight="13.5" x14ac:dyDescent="0.3"/>
  <cols>
    <col min="1" max="1" width="50" style="28" customWidth="1"/>
    <col min="2" max="2" width="13.08984375" style="28" customWidth="1"/>
    <col min="3" max="16384" width="10.36328125" style="28"/>
  </cols>
  <sheetData>
    <row r="1" spans="1:167" x14ac:dyDescent="0.3">
      <c r="A1" s="26" t="s">
        <v>101</v>
      </c>
      <c r="B1" s="26"/>
      <c r="C1" s="27"/>
    </row>
    <row r="2" spans="1:167" x14ac:dyDescent="0.3">
      <c r="A2" s="26" t="s">
        <v>71</v>
      </c>
      <c r="B2" s="26"/>
    </row>
    <row r="3" spans="1:167" x14ac:dyDescent="0.3">
      <c r="A3" s="26" t="s">
        <v>95</v>
      </c>
      <c r="B3" s="26"/>
    </row>
    <row r="4" spans="1:167" x14ac:dyDescent="0.3">
      <c r="A4" s="26" t="s">
        <v>92</v>
      </c>
      <c r="B4" s="26"/>
    </row>
    <row r="5" spans="1:167" x14ac:dyDescent="0.3">
      <c r="A5" s="26" t="s">
        <v>72</v>
      </c>
      <c r="B5" s="26"/>
    </row>
    <row r="6" spans="1:167" x14ac:dyDescent="0.3">
      <c r="A6" s="26" t="s">
        <v>75</v>
      </c>
    </row>
    <row r="7" spans="1:167" x14ac:dyDescent="0.3">
      <c r="A7" s="26"/>
    </row>
    <row r="8" spans="1:167" x14ac:dyDescent="0.3">
      <c r="A8" s="29" t="s">
        <v>1</v>
      </c>
      <c r="B8" s="30">
        <v>0.4</v>
      </c>
    </row>
    <row r="9" spans="1:167" x14ac:dyDescent="0.3">
      <c r="A9" s="28" t="s">
        <v>2</v>
      </c>
      <c r="C9" s="31">
        <v>1</v>
      </c>
      <c r="D9" s="31">
        <v>2</v>
      </c>
      <c r="E9" s="31">
        <v>3</v>
      </c>
      <c r="F9" s="31">
        <v>4</v>
      </c>
      <c r="G9" s="31">
        <v>5</v>
      </c>
      <c r="H9" s="31">
        <v>6</v>
      </c>
      <c r="I9" s="31">
        <v>7</v>
      </c>
      <c r="J9" s="31">
        <v>9</v>
      </c>
      <c r="K9" s="31">
        <v>11</v>
      </c>
      <c r="L9" s="31">
        <v>12</v>
      </c>
      <c r="M9" s="31">
        <v>13</v>
      </c>
      <c r="N9" s="31">
        <v>14</v>
      </c>
      <c r="O9" s="31">
        <v>15</v>
      </c>
      <c r="P9" s="31">
        <v>16</v>
      </c>
      <c r="Q9" s="31">
        <v>17</v>
      </c>
      <c r="R9" s="31">
        <v>18</v>
      </c>
      <c r="S9" s="31">
        <v>19</v>
      </c>
      <c r="T9" s="31">
        <v>20</v>
      </c>
      <c r="U9" s="31">
        <v>21</v>
      </c>
      <c r="V9" s="31">
        <v>22</v>
      </c>
      <c r="W9" s="31">
        <v>23</v>
      </c>
      <c r="X9" s="31">
        <v>24</v>
      </c>
      <c r="Y9" s="31">
        <v>25</v>
      </c>
      <c r="Z9" s="31">
        <v>26</v>
      </c>
      <c r="AA9" s="31">
        <v>27</v>
      </c>
      <c r="AB9" s="31">
        <v>28</v>
      </c>
      <c r="AC9" s="31">
        <v>29</v>
      </c>
      <c r="AD9" s="31">
        <v>30</v>
      </c>
      <c r="AE9" s="31">
        <v>31</v>
      </c>
      <c r="AF9" s="31">
        <v>32</v>
      </c>
      <c r="AG9" s="31">
        <v>33</v>
      </c>
      <c r="AH9" s="31">
        <v>35</v>
      </c>
      <c r="AI9" s="31">
        <v>36</v>
      </c>
      <c r="AJ9" s="31">
        <v>38</v>
      </c>
      <c r="AK9" s="31">
        <v>39</v>
      </c>
      <c r="AL9" s="31">
        <v>41</v>
      </c>
      <c r="AM9" s="31">
        <v>42</v>
      </c>
      <c r="AN9" s="31">
        <v>43</v>
      </c>
      <c r="AO9" s="31">
        <v>44</v>
      </c>
      <c r="AP9" s="31">
        <v>45</v>
      </c>
      <c r="AQ9" s="31">
        <v>46</v>
      </c>
      <c r="AR9" s="31">
        <v>47</v>
      </c>
      <c r="AS9" s="31">
        <v>48</v>
      </c>
      <c r="AT9" s="31">
        <v>49</v>
      </c>
      <c r="AU9" s="31">
        <v>50</v>
      </c>
      <c r="AV9" s="31">
        <v>51</v>
      </c>
      <c r="AW9" s="31">
        <v>52</v>
      </c>
      <c r="AX9" s="31">
        <v>53</v>
      </c>
      <c r="AY9" s="31">
        <v>54</v>
      </c>
      <c r="AZ9" s="31">
        <v>55</v>
      </c>
      <c r="BA9" s="31">
        <v>56</v>
      </c>
      <c r="BB9" s="31">
        <v>57</v>
      </c>
      <c r="BC9" s="31">
        <v>58</v>
      </c>
      <c r="BD9" s="31">
        <v>59</v>
      </c>
      <c r="BE9" s="31">
        <v>60</v>
      </c>
      <c r="BF9" s="31">
        <v>61</v>
      </c>
      <c r="BG9" s="31">
        <v>62</v>
      </c>
      <c r="BH9" s="31">
        <v>63</v>
      </c>
      <c r="BI9" s="31">
        <v>64</v>
      </c>
      <c r="BJ9" s="31">
        <v>65</v>
      </c>
      <c r="BK9" s="31">
        <v>66</v>
      </c>
      <c r="BL9" s="31">
        <v>67</v>
      </c>
      <c r="BM9" s="31">
        <v>68</v>
      </c>
      <c r="BN9" s="31">
        <v>69</v>
      </c>
      <c r="BO9" s="31">
        <v>70</v>
      </c>
      <c r="BP9" s="31">
        <v>71</v>
      </c>
      <c r="BQ9" s="31">
        <v>72</v>
      </c>
      <c r="BR9" s="31">
        <v>73</v>
      </c>
      <c r="BS9" s="31">
        <v>74</v>
      </c>
      <c r="BT9" s="31">
        <v>75</v>
      </c>
      <c r="BU9" s="31">
        <v>76</v>
      </c>
      <c r="BV9" s="31">
        <v>77</v>
      </c>
      <c r="BW9" s="31">
        <v>78</v>
      </c>
      <c r="BX9" s="31">
        <v>79</v>
      </c>
      <c r="BY9" s="31">
        <v>80</v>
      </c>
      <c r="BZ9" s="31">
        <v>81</v>
      </c>
      <c r="CA9" s="31">
        <v>82</v>
      </c>
      <c r="CB9" s="31">
        <v>83</v>
      </c>
      <c r="CC9" s="31">
        <v>84</v>
      </c>
      <c r="CD9" s="31">
        <v>85</v>
      </c>
      <c r="CE9" s="31">
        <v>86</v>
      </c>
      <c r="CF9" s="31">
        <v>87</v>
      </c>
      <c r="CG9" s="31">
        <v>88</v>
      </c>
      <c r="CH9" s="31">
        <v>89</v>
      </c>
      <c r="CI9" s="31">
        <v>90</v>
      </c>
      <c r="CJ9" s="31">
        <v>91</v>
      </c>
      <c r="CK9" s="31">
        <v>92</v>
      </c>
      <c r="CL9" s="31">
        <v>93</v>
      </c>
      <c r="CM9" s="31">
        <v>94</v>
      </c>
      <c r="CN9" s="31">
        <v>95</v>
      </c>
      <c r="CO9" s="31">
        <v>96</v>
      </c>
      <c r="CP9" s="31">
        <v>97</v>
      </c>
      <c r="CQ9" s="31">
        <v>98</v>
      </c>
      <c r="CR9" s="31">
        <v>99</v>
      </c>
      <c r="CS9" s="31">
        <v>100</v>
      </c>
      <c r="CT9" s="31">
        <v>101</v>
      </c>
      <c r="CU9" s="31">
        <v>102</v>
      </c>
      <c r="CV9" s="31">
        <v>103</v>
      </c>
      <c r="CW9" s="31">
        <v>104</v>
      </c>
      <c r="CX9" s="31">
        <v>105</v>
      </c>
      <c r="CY9" s="31">
        <v>106</v>
      </c>
      <c r="CZ9" s="31">
        <v>107</v>
      </c>
      <c r="DA9" s="31">
        <v>108</v>
      </c>
      <c r="DB9" s="31">
        <v>109</v>
      </c>
      <c r="DC9" s="31">
        <v>110</v>
      </c>
      <c r="DD9" s="31">
        <v>111</v>
      </c>
      <c r="DE9" s="31">
        <v>112</v>
      </c>
      <c r="DF9" s="31">
        <v>113</v>
      </c>
      <c r="DG9" s="31">
        <v>114</v>
      </c>
      <c r="DH9" s="31">
        <v>115</v>
      </c>
      <c r="DI9" s="31">
        <v>116</v>
      </c>
      <c r="DJ9" s="31">
        <v>117</v>
      </c>
      <c r="DK9" s="31">
        <v>118</v>
      </c>
      <c r="DL9" s="31">
        <v>119</v>
      </c>
      <c r="DM9" s="31">
        <v>120</v>
      </c>
      <c r="DN9" s="31">
        <v>121</v>
      </c>
      <c r="DO9" s="31">
        <v>122</v>
      </c>
      <c r="DP9" s="31">
        <v>123</v>
      </c>
      <c r="DQ9" s="31">
        <v>124</v>
      </c>
      <c r="DR9" s="31">
        <v>125</v>
      </c>
      <c r="DS9" s="31">
        <v>126</v>
      </c>
      <c r="DT9" s="31">
        <v>127</v>
      </c>
      <c r="DU9" s="31">
        <v>128</v>
      </c>
      <c r="DV9" s="31">
        <v>129</v>
      </c>
      <c r="DW9" s="31">
        <v>130</v>
      </c>
      <c r="DX9" s="31">
        <v>131</v>
      </c>
      <c r="DY9" s="31">
        <v>132</v>
      </c>
      <c r="DZ9" s="31">
        <v>133</v>
      </c>
      <c r="EA9" s="31">
        <v>134</v>
      </c>
      <c r="EB9" s="31">
        <v>135</v>
      </c>
      <c r="EC9" s="31">
        <v>136</v>
      </c>
      <c r="ED9" s="31">
        <v>137</v>
      </c>
      <c r="EE9" s="31">
        <v>138</v>
      </c>
      <c r="EF9" s="31">
        <v>139</v>
      </c>
      <c r="EG9" s="31">
        <v>140</v>
      </c>
      <c r="EH9" s="31">
        <v>141</v>
      </c>
      <c r="EI9" s="31">
        <v>142</v>
      </c>
      <c r="EJ9" s="31">
        <v>143</v>
      </c>
      <c r="EK9" s="31">
        <v>144</v>
      </c>
      <c r="EL9" s="31">
        <v>145</v>
      </c>
      <c r="EM9" s="31">
        <v>146</v>
      </c>
      <c r="EN9" s="31">
        <v>147</v>
      </c>
      <c r="EO9" s="31">
        <v>148</v>
      </c>
      <c r="EP9" s="31">
        <v>149</v>
      </c>
      <c r="EQ9" s="31">
        <v>150</v>
      </c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</row>
    <row r="10" spans="1:167" s="32" customFormat="1" ht="81" x14ac:dyDescent="0.35">
      <c r="A10" s="32" t="s">
        <v>3</v>
      </c>
      <c r="B10" s="32" t="s">
        <v>4</v>
      </c>
      <c r="C10" s="32" t="s">
        <v>96</v>
      </c>
      <c r="D10" s="32" t="s">
        <v>97</v>
      </c>
      <c r="E10" s="32" t="s">
        <v>98</v>
      </c>
      <c r="F10" s="32" t="s">
        <v>99</v>
      </c>
      <c r="G10" s="32" t="s">
        <v>60</v>
      </c>
      <c r="H10" s="32" t="s">
        <v>61</v>
      </c>
      <c r="I10" s="32" t="s">
        <v>62</v>
      </c>
      <c r="J10" s="32" t="s">
        <v>63</v>
      </c>
      <c r="K10" s="32" t="s">
        <v>64</v>
      </c>
      <c r="L10" s="32" t="s">
        <v>65</v>
      </c>
      <c r="M10" s="32" t="s">
        <v>66</v>
      </c>
      <c r="N10" s="32" t="s">
        <v>67</v>
      </c>
      <c r="O10" s="32" t="s">
        <v>76</v>
      </c>
      <c r="P10" s="32" t="s">
        <v>77</v>
      </c>
      <c r="Q10" s="32" t="s">
        <v>78</v>
      </c>
      <c r="R10" s="32" t="s">
        <v>79</v>
      </c>
      <c r="S10" s="32" t="s">
        <v>80</v>
      </c>
      <c r="T10" s="32" t="s">
        <v>81</v>
      </c>
      <c r="U10" s="32" t="s">
        <v>82</v>
      </c>
      <c r="V10" s="32" t="s">
        <v>83</v>
      </c>
      <c r="W10" s="32" t="s">
        <v>84</v>
      </c>
      <c r="X10" s="32" t="s">
        <v>85</v>
      </c>
      <c r="Y10" s="32" t="s">
        <v>86</v>
      </c>
      <c r="Z10" s="32" t="s">
        <v>87</v>
      </c>
      <c r="AA10" s="32" t="s">
        <v>88</v>
      </c>
      <c r="AB10" s="32" t="s">
        <v>89</v>
      </c>
      <c r="AC10" s="32" t="s">
        <v>90</v>
      </c>
      <c r="AD10" s="32" t="s">
        <v>91</v>
      </c>
      <c r="AU10" s="32">
        <v>0</v>
      </c>
      <c r="AV10" s="32">
        <v>0</v>
      </c>
      <c r="AW10" s="32">
        <v>0</v>
      </c>
      <c r="AX10" s="32">
        <v>0</v>
      </c>
      <c r="AY10" s="32">
        <v>0</v>
      </c>
      <c r="AZ10" s="32">
        <v>0</v>
      </c>
      <c r="BA10" s="32">
        <v>0</v>
      </c>
      <c r="BB10" s="32">
        <v>0</v>
      </c>
      <c r="BC10" s="32">
        <v>0</v>
      </c>
      <c r="BD10" s="32">
        <v>0</v>
      </c>
      <c r="BE10" s="32">
        <v>0</v>
      </c>
      <c r="BF10" s="32">
        <v>0</v>
      </c>
      <c r="BG10" s="32">
        <v>0</v>
      </c>
      <c r="BH10" s="32">
        <v>0</v>
      </c>
      <c r="BI10" s="32">
        <v>0</v>
      </c>
      <c r="BJ10" s="32">
        <v>0</v>
      </c>
      <c r="BK10" s="32">
        <v>0</v>
      </c>
      <c r="BL10" s="32">
        <v>0</v>
      </c>
      <c r="BM10" s="32">
        <v>0</v>
      </c>
      <c r="BN10" s="32">
        <v>0</v>
      </c>
      <c r="BO10" s="32">
        <v>0</v>
      </c>
      <c r="BP10" s="32">
        <v>0</v>
      </c>
      <c r="BQ10" s="32">
        <v>0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0</v>
      </c>
      <c r="DL10" s="32">
        <v>0</v>
      </c>
      <c r="DM10" s="32">
        <v>0</v>
      </c>
      <c r="DN10" s="32">
        <v>0</v>
      </c>
      <c r="DO10" s="32">
        <v>0</v>
      </c>
      <c r="DP10" s="32">
        <v>0</v>
      </c>
      <c r="DQ10" s="32">
        <v>0</v>
      </c>
      <c r="DR10" s="32">
        <v>0</v>
      </c>
      <c r="DS10" s="32">
        <v>0</v>
      </c>
      <c r="DT10" s="32">
        <v>0</v>
      </c>
      <c r="DU10" s="32">
        <v>0</v>
      </c>
      <c r="DV10" s="32">
        <v>0</v>
      </c>
      <c r="DW10" s="32">
        <v>0</v>
      </c>
      <c r="DX10" s="32">
        <v>0</v>
      </c>
      <c r="DY10" s="32">
        <v>0</v>
      </c>
      <c r="DZ10" s="32">
        <v>0</v>
      </c>
      <c r="EA10" s="32">
        <v>0</v>
      </c>
      <c r="EB10" s="32">
        <v>0</v>
      </c>
      <c r="EC10" s="32">
        <v>0</v>
      </c>
      <c r="ED10" s="32">
        <v>0</v>
      </c>
      <c r="EE10" s="32">
        <v>0</v>
      </c>
      <c r="EF10" s="32">
        <v>0</v>
      </c>
      <c r="EG10" s="32">
        <v>0</v>
      </c>
      <c r="EH10" s="32">
        <v>0</v>
      </c>
      <c r="EI10" s="32">
        <v>0</v>
      </c>
      <c r="EJ10" s="32">
        <v>0</v>
      </c>
      <c r="EK10" s="32">
        <v>0</v>
      </c>
      <c r="EL10" s="32">
        <v>0</v>
      </c>
      <c r="EM10" s="32">
        <v>0</v>
      </c>
      <c r="EN10" s="32">
        <v>0</v>
      </c>
      <c r="EO10" s="32">
        <v>0</v>
      </c>
      <c r="EP10" s="32">
        <v>0</v>
      </c>
      <c r="EQ10" s="32">
        <v>0</v>
      </c>
    </row>
    <row r="11" spans="1:167" ht="14.5" x14ac:dyDescent="0.35">
      <c r="A11" s="28" t="s">
        <v>96</v>
      </c>
      <c r="B11" s="54">
        <v>1.0065668377100159</v>
      </c>
      <c r="C11" s="34">
        <v>1</v>
      </c>
      <c r="D11" s="34">
        <v>0.65274174270705443</v>
      </c>
      <c r="E11" s="34">
        <v>0.41094413652330281</v>
      </c>
      <c r="F11" s="34">
        <v>-0.10652559892482961</v>
      </c>
      <c r="G11" s="34">
        <v>0.55259898863791734</v>
      </c>
      <c r="H11" s="34">
        <v>0.67101452735116029</v>
      </c>
      <c r="I11" s="34">
        <v>0.57391960451554014</v>
      </c>
      <c r="J11" s="34">
        <v>0.69614716989564085</v>
      </c>
      <c r="K11" s="34">
        <v>0.56965147453051335</v>
      </c>
      <c r="L11" s="34">
        <v>0.6930998966516646</v>
      </c>
      <c r="M11" s="34">
        <v>0.56178317661992683</v>
      </c>
      <c r="N11" s="34">
        <v>0.68100710348389626</v>
      </c>
      <c r="O11" s="34">
        <v>0.30371656578178924</v>
      </c>
      <c r="P11" s="34">
        <v>0.35761385181577166</v>
      </c>
      <c r="Q11" s="34">
        <v>0.34320310079840821</v>
      </c>
      <c r="R11" s="34">
        <v>0.37465891718003941</v>
      </c>
      <c r="S11" s="34">
        <v>0.21874872517592761</v>
      </c>
      <c r="T11" s="34">
        <v>0.20653468279176318</v>
      </c>
      <c r="U11" s="34">
        <v>0.30057437930238934</v>
      </c>
      <c r="V11" s="34">
        <v>0.32572707951503022</v>
      </c>
      <c r="W11" s="34">
        <v>0.28386954662823222</v>
      </c>
      <c r="X11" s="34">
        <v>0.2913364250969418</v>
      </c>
      <c r="Y11" s="34">
        <v>0.35590364390174983</v>
      </c>
      <c r="Z11" s="34">
        <v>0.33025557993905524</v>
      </c>
      <c r="AA11" s="34">
        <v>0.35923534349930625</v>
      </c>
      <c r="AB11" s="34">
        <v>0.28357553438633865</v>
      </c>
      <c r="AC11" s="34">
        <v>0.33639023704738691</v>
      </c>
      <c r="AD11" s="34">
        <v>0.26621523864816377</v>
      </c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</row>
    <row r="12" spans="1:167" ht="14.5" x14ac:dyDescent="0.35">
      <c r="A12" s="28" t="s">
        <v>97</v>
      </c>
      <c r="B12" s="35">
        <v>103.60544086986063</v>
      </c>
      <c r="C12" s="34">
        <v>0.65274174270705443</v>
      </c>
      <c r="D12" s="34">
        <v>1</v>
      </c>
      <c r="E12" s="34">
        <v>7.5218909090753036E-3</v>
      </c>
      <c r="F12" s="34">
        <v>-0.31224162901891178</v>
      </c>
      <c r="G12" s="34">
        <v>0.6909144024438334</v>
      </c>
      <c r="H12" s="34">
        <v>0.5810027565189777</v>
      </c>
      <c r="I12" s="34">
        <v>0.30925645280504316</v>
      </c>
      <c r="J12" s="34">
        <v>0.31778761394625549</v>
      </c>
      <c r="K12" s="34">
        <v>0.73611960418755618</v>
      </c>
      <c r="L12" s="34">
        <v>0.67070624488251296</v>
      </c>
      <c r="M12" s="34">
        <v>0.57988894027015114</v>
      </c>
      <c r="N12" s="34">
        <v>0.5900011366097182</v>
      </c>
      <c r="O12" s="34">
        <v>0.30926981686042393</v>
      </c>
      <c r="P12" s="34">
        <v>0.34108863639251291</v>
      </c>
      <c r="Q12" s="34">
        <v>0.35985555170634126</v>
      </c>
      <c r="R12" s="34">
        <v>0.40539083381057683</v>
      </c>
      <c r="S12" s="34">
        <v>0.22811205918866442</v>
      </c>
      <c r="T12" s="34">
        <v>0.19426573111292936</v>
      </c>
      <c r="U12" s="34">
        <v>0.32097104786744352</v>
      </c>
      <c r="V12" s="34">
        <v>0.31760832970771291</v>
      </c>
      <c r="W12" s="34">
        <v>0.27792808887301668</v>
      </c>
      <c r="X12" s="34">
        <v>0.25162542131247773</v>
      </c>
      <c r="Y12" s="34">
        <v>0.34265293404158359</v>
      </c>
      <c r="Z12" s="34">
        <v>0.32544010981384308</v>
      </c>
      <c r="AA12" s="34">
        <v>0.3632460925400563</v>
      </c>
      <c r="AB12" s="34">
        <v>0.31375667991504241</v>
      </c>
      <c r="AC12" s="34">
        <v>0.32536550550110488</v>
      </c>
      <c r="AD12" s="34">
        <v>0.19620763855901063</v>
      </c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</row>
    <row r="13" spans="1:167" x14ac:dyDescent="0.3">
      <c r="A13" s="28" t="s">
        <v>98</v>
      </c>
      <c r="B13" s="36">
        <v>90.69089173935042</v>
      </c>
      <c r="C13" s="34">
        <v>0.41094413652330281</v>
      </c>
      <c r="D13" s="34">
        <v>7.5218909090753036E-3</v>
      </c>
      <c r="E13" s="34">
        <v>1</v>
      </c>
      <c r="F13" s="34">
        <v>-0.21141427334401328</v>
      </c>
      <c r="G13" s="34">
        <v>0.20624144632522265</v>
      </c>
      <c r="H13" s="34">
        <v>0.166021383461986</v>
      </c>
      <c r="I13" s="34">
        <v>0.81500041537754786</v>
      </c>
      <c r="J13" s="34">
        <v>0.6621878624794475</v>
      </c>
      <c r="K13" s="34">
        <v>0.16349796430826882</v>
      </c>
      <c r="L13" s="34">
        <v>0.18579232432307377</v>
      </c>
      <c r="M13" s="34">
        <v>0.30714321934345251</v>
      </c>
      <c r="N13" s="34">
        <v>0.24522469262033986</v>
      </c>
      <c r="O13" s="34">
        <v>9.3900059780995984E-2</v>
      </c>
      <c r="P13" s="34">
        <v>0.15880710841316384</v>
      </c>
      <c r="Q13" s="34">
        <v>7.0818773155994538E-2</v>
      </c>
      <c r="R13" s="34">
        <v>3.5946029003029775E-2</v>
      </c>
      <c r="S13" s="34">
        <v>2.3962817663493965E-2</v>
      </c>
      <c r="T13" s="34">
        <v>2.2950291951086721E-2</v>
      </c>
      <c r="U13" s="34">
        <v>2.6399010662117812E-2</v>
      </c>
      <c r="V13" s="34">
        <v>0.10364176927576767</v>
      </c>
      <c r="W13" s="34">
        <v>4.1578526319539719E-2</v>
      </c>
      <c r="X13" s="34">
        <v>0.11718493854435764</v>
      </c>
      <c r="Y13" s="34">
        <v>0.12232047038871077</v>
      </c>
      <c r="Z13" s="34">
        <v>0.13418880295942481</v>
      </c>
      <c r="AA13" s="34">
        <v>9.191245474017995E-2</v>
      </c>
      <c r="AB13" s="34">
        <v>6.5081166618346217E-2</v>
      </c>
      <c r="AC13" s="34">
        <v>9.8043604017419378E-2</v>
      </c>
      <c r="AD13" s="34">
        <v>8.9302931506260119E-2</v>
      </c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</row>
    <row r="14" spans="1:167" x14ac:dyDescent="0.3">
      <c r="A14" s="28" t="s">
        <v>99</v>
      </c>
      <c r="B14" s="36">
        <v>74.792075256567983</v>
      </c>
      <c r="C14" s="34">
        <v>-0.10652559892482961</v>
      </c>
      <c r="D14" s="34">
        <v>-0.31224162901891178</v>
      </c>
      <c r="E14" s="34">
        <v>-0.21141427334401328</v>
      </c>
      <c r="F14" s="34">
        <v>1</v>
      </c>
      <c r="G14" s="34">
        <v>-5.5280344391015548E-2</v>
      </c>
      <c r="H14" s="34">
        <v>-1.7159432269292646E-2</v>
      </c>
      <c r="I14" s="34">
        <v>-0.18421029593210764</v>
      </c>
      <c r="J14" s="34">
        <v>-0.15880490686574336</v>
      </c>
      <c r="K14" s="34">
        <v>-0.16854163577501027</v>
      </c>
      <c r="L14" s="34">
        <v>-0.15735743388993703</v>
      </c>
      <c r="M14" s="34">
        <v>-0.18848887840168779</v>
      </c>
      <c r="N14" s="34">
        <v>-0.17526008534228082</v>
      </c>
      <c r="O14" s="34">
        <v>4.0805605167914552E-2</v>
      </c>
      <c r="P14" s="34">
        <v>3.6617150482381587E-2</v>
      </c>
      <c r="Q14" s="34">
        <v>5.0702776190638219E-2</v>
      </c>
      <c r="R14" s="34">
        <v>6.1040269437226694E-2</v>
      </c>
      <c r="S14" s="34">
        <v>4.2812269816496516E-2</v>
      </c>
      <c r="T14" s="34">
        <v>8.1427056972313019E-2</v>
      </c>
      <c r="U14" s="34">
        <v>5.009221747816215E-2</v>
      </c>
      <c r="V14" s="34">
        <v>2.1863667441659903E-2</v>
      </c>
      <c r="W14" s="34">
        <v>8.1907310559103094E-2</v>
      </c>
      <c r="X14" s="34">
        <v>6.0089974238685048E-2</v>
      </c>
      <c r="Y14" s="34">
        <v>3.4118630884424239E-2</v>
      </c>
      <c r="Z14" s="34">
        <v>1.6400785624847588E-2</v>
      </c>
      <c r="AA14" s="34">
        <v>2.8717599428508708E-2</v>
      </c>
      <c r="AB14" s="34">
        <v>4.4771136880590853E-2</v>
      </c>
      <c r="AC14" s="34">
        <v>6.3192074311584648E-2</v>
      </c>
      <c r="AD14" s="34">
        <v>1.6071737785735063E-2</v>
      </c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</row>
    <row r="15" spans="1:167" x14ac:dyDescent="0.3">
      <c r="A15" s="28" t="s">
        <v>60</v>
      </c>
      <c r="B15" s="37">
        <v>0.19970404005810685</v>
      </c>
      <c r="C15" s="34">
        <v>0.55259898863791734</v>
      </c>
      <c r="D15" s="34">
        <v>0.6909144024438334</v>
      </c>
      <c r="E15" s="34">
        <v>0.20624144632522265</v>
      </c>
      <c r="F15" s="34">
        <v>-5.5280344391015548E-2</v>
      </c>
      <c r="G15" s="34">
        <v>1</v>
      </c>
      <c r="H15" s="34">
        <v>0.52810478824093565</v>
      </c>
      <c r="I15" s="34">
        <v>0.48166958856867981</v>
      </c>
      <c r="J15" s="34">
        <v>0.40539409014590505</v>
      </c>
      <c r="K15" s="34">
        <v>0.54178695434568647</v>
      </c>
      <c r="L15" s="34">
        <v>0.44557152770126779</v>
      </c>
      <c r="M15" s="34">
        <v>0.46204202608249451</v>
      </c>
      <c r="N15" s="34">
        <v>0.4192794321450109</v>
      </c>
      <c r="O15" s="34">
        <v>0.34470791681280311</v>
      </c>
      <c r="P15" s="34">
        <v>0.33610433218220492</v>
      </c>
      <c r="Q15" s="34">
        <v>0.29977881694380004</v>
      </c>
      <c r="R15" s="34">
        <v>0.33659001532281146</v>
      </c>
      <c r="S15" s="34">
        <v>0.20541208380356271</v>
      </c>
      <c r="T15" s="34">
        <v>0.17182749173237205</v>
      </c>
      <c r="U15" s="34">
        <v>0.26113416633812997</v>
      </c>
      <c r="V15" s="34">
        <v>0.29852810674582919</v>
      </c>
      <c r="W15" s="34">
        <v>0.24246840903394348</v>
      </c>
      <c r="X15" s="34">
        <v>0.26688666749413503</v>
      </c>
      <c r="Y15" s="34">
        <v>0.33576892757817139</v>
      </c>
      <c r="Z15" s="34">
        <v>0.34404530700067654</v>
      </c>
      <c r="AA15" s="34">
        <v>0.35864418806845649</v>
      </c>
      <c r="AB15" s="34">
        <v>0.29413834560644397</v>
      </c>
      <c r="AC15" s="34">
        <v>0.30945965213524568</v>
      </c>
      <c r="AD15" s="34">
        <v>0.2382247616689793</v>
      </c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</row>
    <row r="16" spans="1:167" ht="14.5" x14ac:dyDescent="0.35">
      <c r="A16" s="28" t="s">
        <v>61</v>
      </c>
      <c r="B16" s="33">
        <v>0.47222262137697252</v>
      </c>
      <c r="C16" s="34">
        <v>0.67101452735116029</v>
      </c>
      <c r="D16" s="34">
        <v>0.5810027565189777</v>
      </c>
      <c r="E16" s="34">
        <v>0.166021383461986</v>
      </c>
      <c r="F16" s="34">
        <v>-1.7159432269292646E-2</v>
      </c>
      <c r="G16" s="34">
        <v>0.52810478824093565</v>
      </c>
      <c r="H16" s="34">
        <v>1</v>
      </c>
      <c r="I16" s="34">
        <v>0.34334103211752853</v>
      </c>
      <c r="J16" s="34">
        <v>0.44205036145040899</v>
      </c>
      <c r="K16" s="34">
        <v>0.40657428442597221</v>
      </c>
      <c r="L16" s="34">
        <v>0.51560379341193441</v>
      </c>
      <c r="M16" s="34">
        <v>0.35391314029014237</v>
      </c>
      <c r="N16" s="34">
        <v>0.47507908896493728</v>
      </c>
      <c r="O16" s="34">
        <v>0.30083245584583646</v>
      </c>
      <c r="P16" s="34">
        <v>0.30417151798115621</v>
      </c>
      <c r="Q16" s="34">
        <v>0.32042978524115834</v>
      </c>
      <c r="R16" s="34">
        <v>0.36172368262107263</v>
      </c>
      <c r="S16" s="34">
        <v>0.1871305779623734</v>
      </c>
      <c r="T16" s="34">
        <v>0.20427626572528487</v>
      </c>
      <c r="U16" s="34">
        <v>0.28494975776338261</v>
      </c>
      <c r="V16" s="34">
        <v>0.28812072317217968</v>
      </c>
      <c r="W16" s="34">
        <v>0.21825770967586292</v>
      </c>
      <c r="X16" s="34">
        <v>0.24700636653180139</v>
      </c>
      <c r="Y16" s="34">
        <v>0.31715120854190737</v>
      </c>
      <c r="Z16" s="34">
        <v>0.30454139974916933</v>
      </c>
      <c r="AA16" s="34">
        <v>0.32610065201459848</v>
      </c>
      <c r="AB16" s="34">
        <v>0.25576597845025578</v>
      </c>
      <c r="AC16" s="34">
        <v>0.28410258223384838</v>
      </c>
      <c r="AD16" s="34">
        <v>0.19575281840982728</v>
      </c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</row>
    <row r="17" spans="1:167" ht="14.5" x14ac:dyDescent="0.35">
      <c r="A17" s="28" t="s">
        <v>62</v>
      </c>
      <c r="B17" s="33">
        <v>0.2046416508401814</v>
      </c>
      <c r="C17" s="34">
        <v>0.57391960451554014</v>
      </c>
      <c r="D17" s="34">
        <v>0.30925645280504316</v>
      </c>
      <c r="E17" s="34">
        <v>0.81500041537754786</v>
      </c>
      <c r="F17" s="34">
        <v>-0.18421029593210764</v>
      </c>
      <c r="G17" s="34">
        <v>0.48166958856867981</v>
      </c>
      <c r="H17" s="34">
        <v>0.34334103211752853</v>
      </c>
      <c r="I17" s="34">
        <v>1</v>
      </c>
      <c r="J17" s="34">
        <v>0.64668387889900913</v>
      </c>
      <c r="K17" s="34">
        <v>0.49748361718886019</v>
      </c>
      <c r="L17" s="34">
        <v>0.42550047713752609</v>
      </c>
      <c r="M17" s="34">
        <v>0.50609444845724016</v>
      </c>
      <c r="N17" s="34">
        <v>0.3903685012334166</v>
      </c>
      <c r="O17" s="34">
        <v>0.20223079770538291</v>
      </c>
      <c r="P17" s="34">
        <v>0.24784474613547652</v>
      </c>
      <c r="Q17" s="34">
        <v>0.17920714931370757</v>
      </c>
      <c r="R17" s="34">
        <v>0.16731721103663791</v>
      </c>
      <c r="S17" s="34">
        <v>0.13249773849229957</v>
      </c>
      <c r="T17" s="34">
        <v>0.12500590822605159</v>
      </c>
      <c r="U17" s="34">
        <v>0.14182732516654084</v>
      </c>
      <c r="V17" s="34">
        <v>0.21058191045856428</v>
      </c>
      <c r="W17" s="34">
        <v>0.15224556838745365</v>
      </c>
      <c r="X17" s="34">
        <v>0.17603637412541367</v>
      </c>
      <c r="Y17" s="34">
        <v>0.23370251115145904</v>
      </c>
      <c r="Z17" s="34">
        <v>0.24285340982135062</v>
      </c>
      <c r="AA17" s="34">
        <v>0.20575288845688552</v>
      </c>
      <c r="AB17" s="34">
        <v>0.16948846046632512</v>
      </c>
      <c r="AC17" s="34">
        <v>0.21571121474459176</v>
      </c>
      <c r="AD17" s="34">
        <v>0.18139690146938917</v>
      </c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</row>
    <row r="18" spans="1:167" ht="14.5" x14ac:dyDescent="0.35">
      <c r="A18" s="28" t="s">
        <v>63</v>
      </c>
      <c r="B18" s="33">
        <v>0.38089834300219244</v>
      </c>
      <c r="C18" s="34">
        <v>0.69614716989564085</v>
      </c>
      <c r="D18" s="34">
        <v>0.31778761394625549</v>
      </c>
      <c r="E18" s="34">
        <v>0.6621878624794475</v>
      </c>
      <c r="F18" s="34">
        <v>-0.15880490686574336</v>
      </c>
      <c r="G18" s="34">
        <v>0.40539409014590505</v>
      </c>
      <c r="H18" s="34">
        <v>0.44205036145040899</v>
      </c>
      <c r="I18" s="34">
        <v>0.64668387889900913</v>
      </c>
      <c r="J18" s="34">
        <v>1</v>
      </c>
      <c r="K18" s="34">
        <v>0.3877266507949807</v>
      </c>
      <c r="L18" s="34">
        <v>0.50728406470279286</v>
      </c>
      <c r="M18" s="34">
        <v>0.39002871720126153</v>
      </c>
      <c r="N18" s="34">
        <v>0.49027484805930749</v>
      </c>
      <c r="O18" s="34">
        <v>0.17630468830028956</v>
      </c>
      <c r="P18" s="34">
        <v>0.27090717604268461</v>
      </c>
      <c r="Q18" s="34">
        <v>0.2068251689370631</v>
      </c>
      <c r="R18" s="34">
        <v>0.20199316119951305</v>
      </c>
      <c r="S18" s="34">
        <v>9.1876673941286804E-2</v>
      </c>
      <c r="T18" s="34">
        <v>0.10709399627389267</v>
      </c>
      <c r="U18" s="34">
        <v>0.14535494098376309</v>
      </c>
      <c r="V18" s="34">
        <v>0.21265891423515326</v>
      </c>
      <c r="W18" s="34">
        <v>0.18394985489172455</v>
      </c>
      <c r="X18" s="34">
        <v>0.19087060695084843</v>
      </c>
      <c r="Y18" s="34">
        <v>0.236969068431298</v>
      </c>
      <c r="Z18" s="34">
        <v>0.21676074416241184</v>
      </c>
      <c r="AA18" s="34">
        <v>0.21606023536938931</v>
      </c>
      <c r="AB18" s="34">
        <v>0.15556545709197539</v>
      </c>
      <c r="AC18" s="34">
        <v>0.19404302801392526</v>
      </c>
      <c r="AD18" s="34">
        <v>0.18152652489981069</v>
      </c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</row>
    <row r="19" spans="1:167" ht="14.5" x14ac:dyDescent="0.35">
      <c r="A19" s="28" t="s">
        <v>64</v>
      </c>
      <c r="B19" s="33">
        <v>0.26831667926665215</v>
      </c>
      <c r="C19" s="34">
        <v>0.56965147453051335</v>
      </c>
      <c r="D19" s="34">
        <v>0.73611960418755618</v>
      </c>
      <c r="E19" s="34">
        <v>0.16349796430826882</v>
      </c>
      <c r="F19" s="34">
        <v>-0.16854163577501027</v>
      </c>
      <c r="G19" s="34">
        <v>0.54178695434568647</v>
      </c>
      <c r="H19" s="34">
        <v>0.40657428442597221</v>
      </c>
      <c r="I19" s="34">
        <v>0.49748361718886019</v>
      </c>
      <c r="J19" s="34">
        <v>0.3877266507949807</v>
      </c>
      <c r="K19" s="34">
        <v>1</v>
      </c>
      <c r="L19" s="34">
        <v>0.68630502863204812</v>
      </c>
      <c r="M19" s="34">
        <v>0.51585780375699664</v>
      </c>
      <c r="N19" s="34">
        <v>0.4419565566641579</v>
      </c>
      <c r="O19" s="34">
        <v>0.25927341182861208</v>
      </c>
      <c r="P19" s="34">
        <v>0.2886778951745787</v>
      </c>
      <c r="Q19" s="34">
        <v>0.31356578120932782</v>
      </c>
      <c r="R19" s="34">
        <v>0.31579692395907571</v>
      </c>
      <c r="S19" s="34">
        <v>0.20624844429283484</v>
      </c>
      <c r="T19" s="34">
        <v>0.21882967541120615</v>
      </c>
      <c r="U19" s="34">
        <v>0.2700469131737937</v>
      </c>
      <c r="V19" s="34">
        <v>0.27454721604639182</v>
      </c>
      <c r="W19" s="34">
        <v>0.26917879742471645</v>
      </c>
      <c r="X19" s="34">
        <v>0.21732636289089483</v>
      </c>
      <c r="Y19" s="34">
        <v>0.29666466283264725</v>
      </c>
      <c r="Z19" s="34">
        <v>0.28449733094296237</v>
      </c>
      <c r="AA19" s="34">
        <v>0.30453876965029247</v>
      </c>
      <c r="AB19" s="34">
        <v>0.2402576931036017</v>
      </c>
      <c r="AC19" s="34">
        <v>0.27443565991873531</v>
      </c>
      <c r="AD19" s="34">
        <v>0.21119554934940354</v>
      </c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</row>
    <row r="20" spans="1:167" ht="14.5" x14ac:dyDescent="0.35">
      <c r="A20" s="28" t="s">
        <v>65</v>
      </c>
      <c r="B20" s="33">
        <v>0.43774629511213775</v>
      </c>
      <c r="C20" s="34">
        <v>0.6930998966516646</v>
      </c>
      <c r="D20" s="34">
        <v>0.67070624488251296</v>
      </c>
      <c r="E20" s="34">
        <v>0.18579232432307377</v>
      </c>
      <c r="F20" s="34">
        <v>-0.15735743388993703</v>
      </c>
      <c r="G20" s="34">
        <v>0.44557152770126779</v>
      </c>
      <c r="H20" s="34">
        <v>0.51560379341193441</v>
      </c>
      <c r="I20" s="34">
        <v>0.42550047713752609</v>
      </c>
      <c r="J20" s="34">
        <v>0.50728406470279286</v>
      </c>
      <c r="K20" s="34">
        <v>0.68630502863204812</v>
      </c>
      <c r="L20" s="34">
        <v>1</v>
      </c>
      <c r="M20" s="34">
        <v>0.41312062963113866</v>
      </c>
      <c r="N20" s="34">
        <v>0.53512277671950348</v>
      </c>
      <c r="O20" s="34">
        <v>0.26360527132899098</v>
      </c>
      <c r="P20" s="34">
        <v>0.30358276798103118</v>
      </c>
      <c r="Q20" s="34">
        <v>0.31668344706298512</v>
      </c>
      <c r="R20" s="34">
        <v>0.35119344677081876</v>
      </c>
      <c r="S20" s="34">
        <v>0.18932197235303586</v>
      </c>
      <c r="T20" s="34">
        <v>0.21341669993998913</v>
      </c>
      <c r="U20" s="34">
        <v>0.27427475283279201</v>
      </c>
      <c r="V20" s="34">
        <v>0.32026389488483664</v>
      </c>
      <c r="W20" s="34">
        <v>0.26245957278221971</v>
      </c>
      <c r="X20" s="34">
        <v>0.19627208241819857</v>
      </c>
      <c r="Y20" s="34">
        <v>0.31892067609846531</v>
      </c>
      <c r="Z20" s="34">
        <v>0.30134992025958052</v>
      </c>
      <c r="AA20" s="34">
        <v>0.30377900257674478</v>
      </c>
      <c r="AB20" s="34">
        <v>0.26251933625148677</v>
      </c>
      <c r="AC20" s="34">
        <v>0.30110351942526409</v>
      </c>
      <c r="AD20" s="34">
        <v>0.23158090533418013</v>
      </c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</row>
    <row r="21" spans="1:167" ht="14.5" x14ac:dyDescent="0.35">
      <c r="A21" s="28" t="s">
        <v>66</v>
      </c>
      <c r="B21" s="33">
        <v>0.20756585853796045</v>
      </c>
      <c r="C21" s="34">
        <v>0.56178317661992683</v>
      </c>
      <c r="D21" s="34">
        <v>0.57988894027015114</v>
      </c>
      <c r="E21" s="34">
        <v>0.30714321934345251</v>
      </c>
      <c r="F21" s="34">
        <v>-0.18848887840168779</v>
      </c>
      <c r="G21" s="34">
        <v>0.46204202608249451</v>
      </c>
      <c r="H21" s="34">
        <v>0.35391314029014237</v>
      </c>
      <c r="I21" s="34">
        <v>0.50609444845724016</v>
      </c>
      <c r="J21" s="34">
        <v>0.39002871720126153</v>
      </c>
      <c r="K21" s="34">
        <v>0.51585780375699664</v>
      </c>
      <c r="L21" s="34">
        <v>0.41312062963113866</v>
      </c>
      <c r="M21" s="34">
        <v>1</v>
      </c>
      <c r="N21" s="34">
        <v>0.683419838840995</v>
      </c>
      <c r="O21" s="34">
        <v>0.23183165290504637</v>
      </c>
      <c r="P21" s="34">
        <v>0.19949394478448434</v>
      </c>
      <c r="Q21" s="34">
        <v>0.16829278592367261</v>
      </c>
      <c r="R21" s="34">
        <v>0.20616578803824515</v>
      </c>
      <c r="S21" s="34">
        <v>0.1743139065553603</v>
      </c>
      <c r="T21" s="34">
        <v>9.9595615998760531E-2</v>
      </c>
      <c r="U21" s="34">
        <v>0.17319535616323956</v>
      </c>
      <c r="V21" s="34">
        <v>0.23564474094766336</v>
      </c>
      <c r="W21" s="34">
        <v>0.15226487377569212</v>
      </c>
      <c r="X21" s="34">
        <v>0.22068967331562642</v>
      </c>
      <c r="Y21" s="34">
        <v>0.2533974851676446</v>
      </c>
      <c r="Z21" s="34">
        <v>0.24207297770786651</v>
      </c>
      <c r="AA21" s="34">
        <v>0.21405258900424393</v>
      </c>
      <c r="AB21" s="34">
        <v>0.22841672628949394</v>
      </c>
      <c r="AC21" s="34">
        <v>0.26706284696631921</v>
      </c>
      <c r="AD21" s="34">
        <v>0.19439489888061218</v>
      </c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</row>
    <row r="22" spans="1:167" ht="14.5" x14ac:dyDescent="0.35">
      <c r="A22" s="28" t="s">
        <v>67</v>
      </c>
      <c r="B22" s="33">
        <v>0.35930799605422287</v>
      </c>
      <c r="C22" s="34">
        <v>0.68100710348389626</v>
      </c>
      <c r="D22" s="34">
        <v>0.5900011366097182</v>
      </c>
      <c r="E22" s="34">
        <v>0.24522469262033986</v>
      </c>
      <c r="F22" s="34">
        <v>-0.17526008534228082</v>
      </c>
      <c r="G22" s="34">
        <v>0.4192794321450109</v>
      </c>
      <c r="H22" s="34">
        <v>0.47507908896493728</v>
      </c>
      <c r="I22" s="34">
        <v>0.3903685012334166</v>
      </c>
      <c r="J22" s="34">
        <v>0.49027484805930749</v>
      </c>
      <c r="K22" s="34">
        <v>0.4419565566641579</v>
      </c>
      <c r="L22" s="34">
        <v>0.53512277671950348</v>
      </c>
      <c r="M22" s="34">
        <v>0.683419838840995</v>
      </c>
      <c r="N22" s="34">
        <v>1</v>
      </c>
      <c r="O22" s="34">
        <v>0.24748634886202572</v>
      </c>
      <c r="P22" s="34">
        <v>0.24650080895495347</v>
      </c>
      <c r="Q22" s="34">
        <v>0.20359432576088196</v>
      </c>
      <c r="R22" s="34">
        <v>0.2637264477120847</v>
      </c>
      <c r="S22" s="34">
        <v>0.18975776496643443</v>
      </c>
      <c r="T22" s="34">
        <v>0.11675062537011154</v>
      </c>
      <c r="U22" s="34">
        <v>0.21977559099265945</v>
      </c>
      <c r="V22" s="34">
        <v>0.29073874228820284</v>
      </c>
      <c r="W22" s="34">
        <v>0.19882545249696318</v>
      </c>
      <c r="X22" s="34">
        <v>0.23858328696247944</v>
      </c>
      <c r="Y22" s="34">
        <v>0.28259094466355167</v>
      </c>
      <c r="Z22" s="34">
        <v>0.2761673962546381</v>
      </c>
      <c r="AA22" s="34">
        <v>0.26855041607814167</v>
      </c>
      <c r="AB22" s="34">
        <v>0.24421476687342328</v>
      </c>
      <c r="AC22" s="34">
        <v>0.29171550040906136</v>
      </c>
      <c r="AD22" s="34">
        <v>0.24252609710607775</v>
      </c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</row>
    <row r="23" spans="1:167" ht="14.5" x14ac:dyDescent="0.35">
      <c r="A23" s="28" t="s">
        <v>76</v>
      </c>
      <c r="B23" s="33">
        <v>0.19873542453167881</v>
      </c>
      <c r="C23" s="34">
        <v>0.30371656578178924</v>
      </c>
      <c r="D23" s="34">
        <v>0.30926981686042393</v>
      </c>
      <c r="E23" s="34">
        <v>9.3900059780995984E-2</v>
      </c>
      <c r="F23" s="34">
        <v>4.0805605167914552E-2</v>
      </c>
      <c r="G23" s="34">
        <v>0.34470791681280311</v>
      </c>
      <c r="H23" s="34">
        <v>0.30083245584583646</v>
      </c>
      <c r="I23" s="34">
        <v>0.20223079770538291</v>
      </c>
      <c r="J23" s="34">
        <v>0.17630468830028956</v>
      </c>
      <c r="K23" s="34">
        <v>0.25927341182861208</v>
      </c>
      <c r="L23" s="34">
        <v>0.26360527132899098</v>
      </c>
      <c r="M23" s="34">
        <v>0.23183165290504637</v>
      </c>
      <c r="N23" s="34">
        <v>0.24748634886202572</v>
      </c>
      <c r="O23" s="34">
        <v>1</v>
      </c>
      <c r="P23" s="34">
        <v>0.45138751329684484</v>
      </c>
      <c r="Q23" s="34">
        <v>0.37054032580853918</v>
      </c>
      <c r="R23" s="34">
        <v>0.3995115960395898</v>
      </c>
      <c r="S23" s="34">
        <v>0.43434849085415878</v>
      </c>
      <c r="T23" s="34">
        <v>0.26089830622479426</v>
      </c>
      <c r="U23" s="34">
        <v>0.35091878997482484</v>
      </c>
      <c r="V23" s="34">
        <v>0.45200680785063257</v>
      </c>
      <c r="W23" s="34">
        <v>0.36106798423597969</v>
      </c>
      <c r="X23" s="34">
        <v>0.45782260892689619</v>
      </c>
      <c r="Y23" s="34">
        <v>0.49596301514524849</v>
      </c>
      <c r="Z23" s="34">
        <v>0.53654358055203288</v>
      </c>
      <c r="AA23" s="34">
        <v>0.50601816188083448</v>
      </c>
      <c r="AB23" s="34">
        <v>0.55667210678710377</v>
      </c>
      <c r="AC23" s="34">
        <v>0.50910147905690006</v>
      </c>
      <c r="AD23" s="34">
        <v>0.42608234976478704</v>
      </c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</row>
    <row r="24" spans="1:167" ht="14.5" x14ac:dyDescent="0.35">
      <c r="A24" s="28" t="s">
        <v>77</v>
      </c>
      <c r="B24" s="33">
        <v>0.27424944936602308</v>
      </c>
      <c r="C24" s="34">
        <v>0.35761385181577166</v>
      </c>
      <c r="D24" s="34">
        <v>0.34108863639251291</v>
      </c>
      <c r="E24" s="34">
        <v>0.15880710841316384</v>
      </c>
      <c r="F24" s="34">
        <v>3.6617150482381587E-2</v>
      </c>
      <c r="G24" s="34">
        <v>0.33610433218220492</v>
      </c>
      <c r="H24" s="34">
        <v>0.30417151798115621</v>
      </c>
      <c r="I24" s="34">
        <v>0.24784474613547652</v>
      </c>
      <c r="J24" s="34">
        <v>0.27090717604268461</v>
      </c>
      <c r="K24" s="34">
        <v>0.2886778951745787</v>
      </c>
      <c r="L24" s="34">
        <v>0.30358276798103118</v>
      </c>
      <c r="M24" s="34">
        <v>0.19949394478448434</v>
      </c>
      <c r="N24" s="34">
        <v>0.24650080895495347</v>
      </c>
      <c r="O24" s="34">
        <v>0.45138751329684484</v>
      </c>
      <c r="P24" s="34">
        <v>1</v>
      </c>
      <c r="Q24" s="34">
        <v>0.47476183482251888</v>
      </c>
      <c r="R24" s="34">
        <v>0.52712411701184991</v>
      </c>
      <c r="S24" s="34">
        <v>0.39129539655362794</v>
      </c>
      <c r="T24" s="34">
        <v>0.33621773832116525</v>
      </c>
      <c r="U24" s="34">
        <v>0.3791467929124423</v>
      </c>
      <c r="V24" s="34">
        <v>0.4253643752112129</v>
      </c>
      <c r="W24" s="34">
        <v>0.40609564493877481</v>
      </c>
      <c r="X24" s="34">
        <v>0.39689619148624145</v>
      </c>
      <c r="Y24" s="34">
        <v>0.44996358382856644</v>
      </c>
      <c r="Z24" s="34">
        <v>0.46662957691502055</v>
      </c>
      <c r="AA24" s="34">
        <v>0.50352347385727403</v>
      </c>
      <c r="AB24" s="34">
        <v>0.41921815456233047</v>
      </c>
      <c r="AC24" s="34">
        <v>0.44070585766211795</v>
      </c>
      <c r="AD24" s="34">
        <v>0.33944320984995746</v>
      </c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</row>
    <row r="25" spans="1:167" ht="14.5" x14ac:dyDescent="0.35">
      <c r="A25" s="28" t="s">
        <v>78</v>
      </c>
      <c r="B25" s="33">
        <v>0.42897034572921811</v>
      </c>
      <c r="C25" s="34">
        <v>0.34320310079840821</v>
      </c>
      <c r="D25" s="34">
        <v>0.35985555170634126</v>
      </c>
      <c r="E25" s="34">
        <v>7.0818773155994538E-2</v>
      </c>
      <c r="F25" s="34">
        <v>5.0702776190638219E-2</v>
      </c>
      <c r="G25" s="34">
        <v>0.29977881694380004</v>
      </c>
      <c r="H25" s="34">
        <v>0.32042978524115834</v>
      </c>
      <c r="I25" s="34">
        <v>0.17920714931370757</v>
      </c>
      <c r="J25" s="34">
        <v>0.2068251689370631</v>
      </c>
      <c r="K25" s="34">
        <v>0.31356578120932782</v>
      </c>
      <c r="L25" s="34">
        <v>0.31668344706298512</v>
      </c>
      <c r="M25" s="34">
        <v>0.16829278592367261</v>
      </c>
      <c r="N25" s="34">
        <v>0.20359432576088196</v>
      </c>
      <c r="O25" s="34">
        <v>0.37054032580853918</v>
      </c>
      <c r="P25" s="34">
        <v>0.47476183482251888</v>
      </c>
      <c r="Q25" s="34">
        <v>1</v>
      </c>
      <c r="R25" s="34">
        <v>0.58641737206489264</v>
      </c>
      <c r="S25" s="34">
        <v>0.32704463907965547</v>
      </c>
      <c r="T25" s="34">
        <v>0.41540331388080115</v>
      </c>
      <c r="U25" s="34">
        <v>0.44899625336917287</v>
      </c>
      <c r="V25" s="34">
        <v>0.39920012070680966</v>
      </c>
      <c r="W25" s="34">
        <v>0.44258537666831638</v>
      </c>
      <c r="X25" s="34">
        <v>0.37078507246427889</v>
      </c>
      <c r="Y25" s="34">
        <v>0.47071998617324634</v>
      </c>
      <c r="Z25" s="34">
        <v>0.4329271359657465</v>
      </c>
      <c r="AA25" s="34">
        <v>0.47565299048481019</v>
      </c>
      <c r="AB25" s="34">
        <v>0.35622246015571896</v>
      </c>
      <c r="AC25" s="34">
        <v>0.38807870879265727</v>
      </c>
      <c r="AD25" s="34">
        <v>0.29101843571056768</v>
      </c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</row>
    <row r="26" spans="1:167" ht="14.5" x14ac:dyDescent="0.35">
      <c r="A26" s="28" t="s">
        <v>79</v>
      </c>
      <c r="B26" s="33">
        <v>0.39237776750619607</v>
      </c>
      <c r="C26" s="34">
        <v>0.37465891718003941</v>
      </c>
      <c r="D26" s="34">
        <v>0.40539083381057683</v>
      </c>
      <c r="E26" s="34">
        <v>3.5946029003029775E-2</v>
      </c>
      <c r="F26" s="34">
        <v>6.1040269437226694E-2</v>
      </c>
      <c r="G26" s="34">
        <v>0.33659001532281146</v>
      </c>
      <c r="H26" s="34">
        <v>0.36172368262107263</v>
      </c>
      <c r="I26" s="34">
        <v>0.16731721103663791</v>
      </c>
      <c r="J26" s="34">
        <v>0.20199316119951305</v>
      </c>
      <c r="K26" s="34">
        <v>0.31579692395907571</v>
      </c>
      <c r="L26" s="34">
        <v>0.35119344677081876</v>
      </c>
      <c r="M26" s="34">
        <v>0.20616578803824515</v>
      </c>
      <c r="N26" s="34">
        <v>0.2637264477120847</v>
      </c>
      <c r="O26" s="34">
        <v>0.3995115960395898</v>
      </c>
      <c r="P26" s="34">
        <v>0.52712411701184991</v>
      </c>
      <c r="Q26" s="34">
        <v>0.58641737206489264</v>
      </c>
      <c r="R26" s="34">
        <v>1</v>
      </c>
      <c r="S26" s="34">
        <v>0.39160189589131167</v>
      </c>
      <c r="T26" s="34">
        <v>0.42785527391128486</v>
      </c>
      <c r="U26" s="34">
        <v>0.46212955298192476</v>
      </c>
      <c r="V26" s="34">
        <v>0.45000000025441034</v>
      </c>
      <c r="W26" s="34">
        <v>0.43925103983318875</v>
      </c>
      <c r="X26" s="34">
        <v>0.35593201850455819</v>
      </c>
      <c r="Y26" s="34">
        <v>0.4714322901024528</v>
      </c>
      <c r="Z26" s="34">
        <v>0.45181034324480696</v>
      </c>
      <c r="AA26" s="34">
        <v>0.51497727787343384</v>
      </c>
      <c r="AB26" s="34">
        <v>0.37486105189062557</v>
      </c>
      <c r="AC26" s="34">
        <v>0.39330254515390967</v>
      </c>
      <c r="AD26" s="34">
        <v>0.30199605042185401</v>
      </c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</row>
    <row r="27" spans="1:167" ht="14.5" x14ac:dyDescent="0.35">
      <c r="A27" s="28" t="s">
        <v>80</v>
      </c>
      <c r="B27" s="33">
        <v>0.18911206961471774</v>
      </c>
      <c r="C27" s="34">
        <v>0.21874872517592761</v>
      </c>
      <c r="D27" s="34">
        <v>0.22811205918866442</v>
      </c>
      <c r="E27" s="34">
        <v>2.3962817663493965E-2</v>
      </c>
      <c r="F27" s="34">
        <v>4.2812269816496516E-2</v>
      </c>
      <c r="G27" s="34">
        <v>0.20541208380356271</v>
      </c>
      <c r="H27" s="34">
        <v>0.1871305779623734</v>
      </c>
      <c r="I27" s="34">
        <v>0.13249773849229957</v>
      </c>
      <c r="J27" s="34">
        <v>9.1876673941286804E-2</v>
      </c>
      <c r="K27" s="34">
        <v>0.20624844429283484</v>
      </c>
      <c r="L27" s="34">
        <v>0.18932197235303586</v>
      </c>
      <c r="M27" s="34">
        <v>0.1743139065553603</v>
      </c>
      <c r="N27" s="34">
        <v>0.18975776496643443</v>
      </c>
      <c r="O27" s="34">
        <v>0.43434849085415878</v>
      </c>
      <c r="P27" s="34">
        <v>0.39129539655362794</v>
      </c>
      <c r="Q27" s="34">
        <v>0.32704463907965547</v>
      </c>
      <c r="R27" s="34">
        <v>0.39160189589131167</v>
      </c>
      <c r="S27" s="34">
        <v>1</v>
      </c>
      <c r="T27" s="34">
        <v>0.25058026714072229</v>
      </c>
      <c r="U27" s="34">
        <v>0.33995675325301683</v>
      </c>
      <c r="V27" s="34">
        <v>0.37881608938988337</v>
      </c>
      <c r="W27" s="34">
        <v>0.34997128699732893</v>
      </c>
      <c r="X27" s="34">
        <v>0.39242214104122808</v>
      </c>
      <c r="Y27" s="34">
        <v>0.40222843668874531</v>
      </c>
      <c r="Z27" s="34">
        <v>0.43488794089546134</v>
      </c>
      <c r="AA27" s="34">
        <v>0.44596036041365245</v>
      </c>
      <c r="AB27" s="34">
        <v>0.47261019192493697</v>
      </c>
      <c r="AC27" s="34">
        <v>0.52330717452611097</v>
      </c>
      <c r="AD27" s="34">
        <v>0.43952697674898145</v>
      </c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</row>
    <row r="28" spans="1:167" ht="14.5" x14ac:dyDescent="0.35">
      <c r="A28" s="28" t="s">
        <v>81</v>
      </c>
      <c r="B28" s="33">
        <v>0.49994997260467955</v>
      </c>
      <c r="C28" s="34">
        <v>0.20653468279176318</v>
      </c>
      <c r="D28" s="34">
        <v>0.19426573111292936</v>
      </c>
      <c r="E28" s="34">
        <v>2.2950291951086721E-2</v>
      </c>
      <c r="F28" s="34">
        <v>8.1427056972313019E-2</v>
      </c>
      <c r="G28" s="34">
        <v>0.17182749173237205</v>
      </c>
      <c r="H28" s="34">
        <v>0.20427626572528487</v>
      </c>
      <c r="I28" s="34">
        <v>0.12500590822605159</v>
      </c>
      <c r="J28" s="34">
        <v>0.10709399627389267</v>
      </c>
      <c r="K28" s="34">
        <v>0.21882967541120615</v>
      </c>
      <c r="L28" s="34">
        <v>0.21341669993998913</v>
      </c>
      <c r="M28" s="34">
        <v>9.9595615998760531E-2</v>
      </c>
      <c r="N28" s="34">
        <v>0.11675062537011154</v>
      </c>
      <c r="O28" s="34">
        <v>0.26089830622479426</v>
      </c>
      <c r="P28" s="34">
        <v>0.33621773832116525</v>
      </c>
      <c r="Q28" s="34">
        <v>0.41540331388080115</v>
      </c>
      <c r="R28" s="34">
        <v>0.42785527391128486</v>
      </c>
      <c r="S28" s="34">
        <v>0.25058026714072229</v>
      </c>
      <c r="T28" s="34">
        <v>1</v>
      </c>
      <c r="U28" s="34">
        <v>0.42818625809460054</v>
      </c>
      <c r="V28" s="34">
        <v>0.31237034758104615</v>
      </c>
      <c r="W28" s="34">
        <v>0.37623593023415258</v>
      </c>
      <c r="X28" s="34">
        <v>0.25081349446325363</v>
      </c>
      <c r="Y28" s="34">
        <v>0.3172817997246235</v>
      </c>
      <c r="Z28" s="34">
        <v>0.30438105467818216</v>
      </c>
      <c r="AA28" s="34">
        <v>0.32831196241422173</v>
      </c>
      <c r="AB28" s="34">
        <v>0.24294892789964925</v>
      </c>
      <c r="AC28" s="34">
        <v>0.29063841662177164</v>
      </c>
      <c r="AD28" s="34">
        <v>0.26626220897449437</v>
      </c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</row>
    <row r="29" spans="1:167" ht="14.5" x14ac:dyDescent="0.35">
      <c r="A29" s="28" t="s">
        <v>82</v>
      </c>
      <c r="B29" s="33">
        <v>0.40818881935613238</v>
      </c>
      <c r="C29" s="34">
        <v>0.30057437930238934</v>
      </c>
      <c r="D29" s="34">
        <v>0.32097104786744352</v>
      </c>
      <c r="E29" s="34">
        <v>2.6399010662117812E-2</v>
      </c>
      <c r="F29" s="34">
        <v>5.009221747816215E-2</v>
      </c>
      <c r="G29" s="34">
        <v>0.26113416633812997</v>
      </c>
      <c r="H29" s="34">
        <v>0.28494975776338261</v>
      </c>
      <c r="I29" s="34">
        <v>0.14182732516654084</v>
      </c>
      <c r="J29" s="34">
        <v>0.14535494098376309</v>
      </c>
      <c r="K29" s="34">
        <v>0.2700469131737937</v>
      </c>
      <c r="L29" s="34">
        <v>0.27427475283279201</v>
      </c>
      <c r="M29" s="34">
        <v>0.17319535616323956</v>
      </c>
      <c r="N29" s="34">
        <v>0.21977559099265945</v>
      </c>
      <c r="O29" s="34">
        <v>0.35091878997482484</v>
      </c>
      <c r="P29" s="34">
        <v>0.3791467929124423</v>
      </c>
      <c r="Q29" s="34">
        <v>0.44899625336917287</v>
      </c>
      <c r="R29" s="34">
        <v>0.46212955298192476</v>
      </c>
      <c r="S29" s="34">
        <v>0.33995675325301683</v>
      </c>
      <c r="T29" s="34">
        <v>0.42818625809460054</v>
      </c>
      <c r="U29" s="34">
        <v>1</v>
      </c>
      <c r="V29" s="34">
        <v>0.39741024341811959</v>
      </c>
      <c r="W29" s="34">
        <v>0.48027991100903999</v>
      </c>
      <c r="X29" s="34">
        <v>0.32850761449568378</v>
      </c>
      <c r="Y29" s="34">
        <v>0.41456828514475713</v>
      </c>
      <c r="Z29" s="34">
        <v>0.43146955734432668</v>
      </c>
      <c r="AA29" s="34">
        <v>0.44788604650544944</v>
      </c>
      <c r="AB29" s="34">
        <v>0.34312980945431876</v>
      </c>
      <c r="AC29" s="34">
        <v>0.38926003852447155</v>
      </c>
      <c r="AD29" s="34">
        <v>0.33874824264023623</v>
      </c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</row>
    <row r="30" spans="1:167" ht="14.5" x14ac:dyDescent="0.35">
      <c r="A30" s="28" t="s">
        <v>83</v>
      </c>
      <c r="B30" s="33">
        <v>0.2717656424089685</v>
      </c>
      <c r="C30" s="34">
        <v>0.32572707951503022</v>
      </c>
      <c r="D30" s="34">
        <v>0.31760832970771291</v>
      </c>
      <c r="E30" s="34">
        <v>0.10364176927576767</v>
      </c>
      <c r="F30" s="34">
        <v>2.1863667441659903E-2</v>
      </c>
      <c r="G30" s="34">
        <v>0.29852810674582919</v>
      </c>
      <c r="H30" s="34">
        <v>0.28812072317217968</v>
      </c>
      <c r="I30" s="34">
        <v>0.21058191045856428</v>
      </c>
      <c r="J30" s="34">
        <v>0.21265891423515326</v>
      </c>
      <c r="K30" s="34">
        <v>0.27454721604639182</v>
      </c>
      <c r="L30" s="34">
        <v>0.32026389488483664</v>
      </c>
      <c r="M30" s="34">
        <v>0.23564474094766336</v>
      </c>
      <c r="N30" s="34">
        <v>0.29073874228820284</v>
      </c>
      <c r="O30" s="34">
        <v>0.45200680785063257</v>
      </c>
      <c r="P30" s="34">
        <v>0.4253643752112129</v>
      </c>
      <c r="Q30" s="34">
        <v>0.39920012070680966</v>
      </c>
      <c r="R30" s="34">
        <v>0.45000000025441034</v>
      </c>
      <c r="S30" s="34">
        <v>0.37881608938988337</v>
      </c>
      <c r="T30" s="34">
        <v>0.31237034758104615</v>
      </c>
      <c r="U30" s="34">
        <v>0.39741024341811959</v>
      </c>
      <c r="V30" s="34">
        <v>1</v>
      </c>
      <c r="W30" s="34">
        <v>0.38760969833580844</v>
      </c>
      <c r="X30" s="34">
        <v>0.4089991162798049</v>
      </c>
      <c r="Y30" s="34">
        <v>0.46710787998500491</v>
      </c>
      <c r="Z30" s="34">
        <v>0.44520277421887899</v>
      </c>
      <c r="AA30" s="34">
        <v>0.50021140610987924</v>
      </c>
      <c r="AB30" s="34">
        <v>0.43699906868262639</v>
      </c>
      <c r="AC30" s="34">
        <v>0.4549558251200348</v>
      </c>
      <c r="AD30" s="34">
        <v>0.38460001304360719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</row>
    <row r="31" spans="1:167" ht="14.5" x14ac:dyDescent="0.35">
      <c r="A31" s="28" t="s">
        <v>84</v>
      </c>
      <c r="B31" s="33">
        <v>0.35158468427258505</v>
      </c>
      <c r="C31" s="34">
        <v>0.28386954662823222</v>
      </c>
      <c r="D31" s="34">
        <v>0.27792808887301668</v>
      </c>
      <c r="E31" s="34">
        <v>4.1578526319539719E-2</v>
      </c>
      <c r="F31" s="34">
        <v>8.1907310559103094E-2</v>
      </c>
      <c r="G31" s="34">
        <v>0.24246840903394348</v>
      </c>
      <c r="H31" s="34">
        <v>0.21825770967586292</v>
      </c>
      <c r="I31" s="34">
        <v>0.15224556838745365</v>
      </c>
      <c r="J31" s="34">
        <v>0.18394985489172455</v>
      </c>
      <c r="K31" s="34">
        <v>0.26917879742471645</v>
      </c>
      <c r="L31" s="34">
        <v>0.26245957278221971</v>
      </c>
      <c r="M31" s="34">
        <v>0.15226487377569212</v>
      </c>
      <c r="N31" s="34">
        <v>0.19882545249696318</v>
      </c>
      <c r="O31" s="34">
        <v>0.36106798423597969</v>
      </c>
      <c r="P31" s="34">
        <v>0.40609564493877481</v>
      </c>
      <c r="Q31" s="34">
        <v>0.44258537666831638</v>
      </c>
      <c r="R31" s="34">
        <v>0.43925103983318875</v>
      </c>
      <c r="S31" s="34">
        <v>0.34997128699732893</v>
      </c>
      <c r="T31" s="34">
        <v>0.37623593023415258</v>
      </c>
      <c r="U31" s="34">
        <v>0.48027991100903999</v>
      </c>
      <c r="V31" s="34">
        <v>0.38760969833580844</v>
      </c>
      <c r="W31" s="34">
        <v>1</v>
      </c>
      <c r="X31" s="34">
        <v>0.36286844482347919</v>
      </c>
      <c r="Y31" s="34">
        <v>0.46018161431112514</v>
      </c>
      <c r="Z31" s="34">
        <v>0.38616530078107503</v>
      </c>
      <c r="AA31" s="34">
        <v>0.41882573345228419</v>
      </c>
      <c r="AB31" s="34">
        <v>0.36155262259376514</v>
      </c>
      <c r="AC31" s="34">
        <v>0.37547322411565431</v>
      </c>
      <c r="AD31" s="34">
        <v>0.32208980844766938</v>
      </c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</row>
    <row r="32" spans="1:167" ht="14.5" x14ac:dyDescent="0.35">
      <c r="A32" s="28" t="s">
        <v>85</v>
      </c>
      <c r="B32" s="33">
        <v>0.21713872037905907</v>
      </c>
      <c r="C32" s="34">
        <v>0.2913364250969418</v>
      </c>
      <c r="D32" s="34">
        <v>0.25162542131247773</v>
      </c>
      <c r="E32" s="34">
        <v>0.11718493854435764</v>
      </c>
      <c r="F32" s="34">
        <v>6.0089974238685048E-2</v>
      </c>
      <c r="G32" s="34">
        <v>0.26688666749413503</v>
      </c>
      <c r="H32" s="34">
        <v>0.24700636653180139</v>
      </c>
      <c r="I32" s="34">
        <v>0.17603637412541367</v>
      </c>
      <c r="J32" s="34">
        <v>0.19087060695084843</v>
      </c>
      <c r="K32" s="34">
        <v>0.21732636289089483</v>
      </c>
      <c r="L32" s="34">
        <v>0.19627208241819857</v>
      </c>
      <c r="M32" s="34">
        <v>0.22068967331562642</v>
      </c>
      <c r="N32" s="34">
        <v>0.23858328696247944</v>
      </c>
      <c r="O32" s="34">
        <v>0.45782260892689619</v>
      </c>
      <c r="P32" s="34">
        <v>0.39689619148624145</v>
      </c>
      <c r="Q32" s="34">
        <v>0.37078507246427889</v>
      </c>
      <c r="R32" s="34">
        <v>0.35593201850455819</v>
      </c>
      <c r="S32" s="34">
        <v>0.39242214104122808</v>
      </c>
      <c r="T32" s="34">
        <v>0.25081349446325363</v>
      </c>
      <c r="U32" s="34">
        <v>0.32850761449568378</v>
      </c>
      <c r="V32" s="34">
        <v>0.4089991162798049</v>
      </c>
      <c r="W32" s="34">
        <v>0.36286844482347919</v>
      </c>
      <c r="X32" s="34">
        <v>1</v>
      </c>
      <c r="Y32" s="34">
        <v>0.44149529781606006</v>
      </c>
      <c r="Z32" s="34">
        <v>0.46649512030532064</v>
      </c>
      <c r="AA32" s="34">
        <v>0.47840373757548382</v>
      </c>
      <c r="AB32" s="34">
        <v>0.48363575190583935</v>
      </c>
      <c r="AC32" s="34">
        <v>0.5130573566943456</v>
      </c>
      <c r="AD32" s="34">
        <v>0.37492880751318786</v>
      </c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</row>
    <row r="33" spans="1:167" ht="14.5" x14ac:dyDescent="0.35">
      <c r="A33" s="28" t="s">
        <v>86</v>
      </c>
      <c r="B33" s="33">
        <v>0.24210618261436298</v>
      </c>
      <c r="C33" s="34">
        <v>0.35590364390174983</v>
      </c>
      <c r="D33" s="34">
        <v>0.34265293404158359</v>
      </c>
      <c r="E33" s="34">
        <v>0.12232047038871077</v>
      </c>
      <c r="F33" s="34">
        <v>3.4118630884424239E-2</v>
      </c>
      <c r="G33" s="34">
        <v>0.33576892757817139</v>
      </c>
      <c r="H33" s="34">
        <v>0.31715120854190737</v>
      </c>
      <c r="I33" s="34">
        <v>0.23370251115145904</v>
      </c>
      <c r="J33" s="34">
        <v>0.236969068431298</v>
      </c>
      <c r="K33" s="34">
        <v>0.29666466283264725</v>
      </c>
      <c r="L33" s="34">
        <v>0.31892067609846531</v>
      </c>
      <c r="M33" s="34">
        <v>0.2533974851676446</v>
      </c>
      <c r="N33" s="34">
        <v>0.28259094466355167</v>
      </c>
      <c r="O33" s="34">
        <v>0.49596301514524849</v>
      </c>
      <c r="P33" s="34">
        <v>0.44996358382856644</v>
      </c>
      <c r="Q33" s="34">
        <v>0.47071998617324634</v>
      </c>
      <c r="R33" s="34">
        <v>0.4714322901024528</v>
      </c>
      <c r="S33" s="34">
        <v>0.40222843668874531</v>
      </c>
      <c r="T33" s="34">
        <v>0.3172817997246235</v>
      </c>
      <c r="U33" s="34">
        <v>0.41456828514475713</v>
      </c>
      <c r="V33" s="34">
        <v>0.46710787998500491</v>
      </c>
      <c r="W33" s="34">
        <v>0.46018161431112514</v>
      </c>
      <c r="X33" s="34">
        <v>0.44149529781606006</v>
      </c>
      <c r="Y33" s="34">
        <v>1</v>
      </c>
      <c r="Z33" s="34">
        <v>0.52641562860201996</v>
      </c>
      <c r="AA33" s="34">
        <v>0.54841948009372976</v>
      </c>
      <c r="AB33" s="34">
        <v>0.46316494709639194</v>
      </c>
      <c r="AC33" s="34">
        <v>0.48080417095714434</v>
      </c>
      <c r="AD33" s="34">
        <v>0.38890256326997064</v>
      </c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</row>
    <row r="34" spans="1:167" ht="14.5" x14ac:dyDescent="0.35">
      <c r="A34" s="28" t="s">
        <v>87</v>
      </c>
      <c r="B34" s="33">
        <v>0.21742790799536299</v>
      </c>
      <c r="C34" s="34">
        <v>0.33025557993905524</v>
      </c>
      <c r="D34" s="34">
        <v>0.32544010981384308</v>
      </c>
      <c r="E34" s="34">
        <v>0.13418880295942481</v>
      </c>
      <c r="F34" s="34">
        <v>1.6400785624847588E-2</v>
      </c>
      <c r="G34" s="34">
        <v>0.34404530700067654</v>
      </c>
      <c r="H34" s="34">
        <v>0.30454139974916933</v>
      </c>
      <c r="I34" s="34">
        <v>0.24285340982135062</v>
      </c>
      <c r="J34" s="34">
        <v>0.21676074416241184</v>
      </c>
      <c r="K34" s="34">
        <v>0.28449733094296237</v>
      </c>
      <c r="L34" s="34">
        <v>0.30134992025958052</v>
      </c>
      <c r="M34" s="34">
        <v>0.24207297770786651</v>
      </c>
      <c r="N34" s="34">
        <v>0.2761673962546381</v>
      </c>
      <c r="O34" s="34">
        <v>0.53654358055203288</v>
      </c>
      <c r="P34" s="34">
        <v>0.46662957691502055</v>
      </c>
      <c r="Q34" s="34">
        <v>0.4329271359657465</v>
      </c>
      <c r="R34" s="34">
        <v>0.45181034324480696</v>
      </c>
      <c r="S34" s="34">
        <v>0.43488794089546134</v>
      </c>
      <c r="T34" s="34">
        <v>0.30438105467818216</v>
      </c>
      <c r="U34" s="34">
        <v>0.43146955734432668</v>
      </c>
      <c r="V34" s="34">
        <v>0.44520277421887899</v>
      </c>
      <c r="W34" s="34">
        <v>0.38616530078107503</v>
      </c>
      <c r="X34" s="34">
        <v>0.46649512030532064</v>
      </c>
      <c r="Y34" s="34">
        <v>0.52641562860201996</v>
      </c>
      <c r="Z34" s="34">
        <v>1</v>
      </c>
      <c r="AA34" s="34">
        <v>0.53043380556992381</v>
      </c>
      <c r="AB34" s="34">
        <v>0.513817620287782</v>
      </c>
      <c r="AC34" s="34">
        <v>0.52372116450790374</v>
      </c>
      <c r="AD34" s="34">
        <v>0.41911180722638242</v>
      </c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</row>
    <row r="35" spans="1:167" ht="14.5" x14ac:dyDescent="0.35">
      <c r="A35" s="28" t="s">
        <v>88</v>
      </c>
      <c r="B35" s="33">
        <v>0.27012498333528967</v>
      </c>
      <c r="C35" s="34">
        <v>0.35923534349930625</v>
      </c>
      <c r="D35" s="34">
        <v>0.3632460925400563</v>
      </c>
      <c r="E35" s="34">
        <v>9.191245474017995E-2</v>
      </c>
      <c r="F35" s="34">
        <v>2.8717599428508708E-2</v>
      </c>
      <c r="G35" s="34">
        <v>0.35864418806845649</v>
      </c>
      <c r="H35" s="34">
        <v>0.32610065201459848</v>
      </c>
      <c r="I35" s="34">
        <v>0.20575288845688552</v>
      </c>
      <c r="J35" s="34">
        <v>0.21606023536938931</v>
      </c>
      <c r="K35" s="34">
        <v>0.30453876965029247</v>
      </c>
      <c r="L35" s="34">
        <v>0.30377900257674478</v>
      </c>
      <c r="M35" s="34">
        <v>0.21405258900424393</v>
      </c>
      <c r="N35" s="34">
        <v>0.26855041607814167</v>
      </c>
      <c r="O35" s="34">
        <v>0.50601816188083448</v>
      </c>
      <c r="P35" s="34">
        <v>0.50352347385727403</v>
      </c>
      <c r="Q35" s="34">
        <v>0.47565299048481019</v>
      </c>
      <c r="R35" s="34">
        <v>0.51497727787343384</v>
      </c>
      <c r="S35" s="34">
        <v>0.44596036041365245</v>
      </c>
      <c r="T35" s="34">
        <v>0.32831196241422173</v>
      </c>
      <c r="U35" s="34">
        <v>0.44788604650544944</v>
      </c>
      <c r="V35" s="34">
        <v>0.50021140610987924</v>
      </c>
      <c r="W35" s="34">
        <v>0.41882573345228419</v>
      </c>
      <c r="X35" s="34">
        <v>0.47840373757548382</v>
      </c>
      <c r="Y35" s="34">
        <v>0.54841948009372976</v>
      </c>
      <c r="Z35" s="34">
        <v>0.53043380556992381</v>
      </c>
      <c r="AA35" s="34">
        <v>1</v>
      </c>
      <c r="AB35" s="34">
        <v>0.48309972957756736</v>
      </c>
      <c r="AC35" s="34">
        <v>0.53456560925673857</v>
      </c>
      <c r="AD35" s="34">
        <v>0.38140944069214933</v>
      </c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</row>
    <row r="36" spans="1:167" ht="14.5" x14ac:dyDescent="0.35">
      <c r="A36" s="28" t="s">
        <v>89</v>
      </c>
      <c r="B36" s="33">
        <v>0.18421730144246584</v>
      </c>
      <c r="C36" s="34">
        <v>0.28357553438633865</v>
      </c>
      <c r="D36" s="34">
        <v>0.31375667991504241</v>
      </c>
      <c r="E36" s="34">
        <v>6.5081166618346217E-2</v>
      </c>
      <c r="F36" s="34">
        <v>4.4771136880590853E-2</v>
      </c>
      <c r="G36" s="34">
        <v>0.29413834560644397</v>
      </c>
      <c r="H36" s="34">
        <v>0.25576597845025578</v>
      </c>
      <c r="I36" s="34">
        <v>0.16948846046632512</v>
      </c>
      <c r="J36" s="34">
        <v>0.15556545709197539</v>
      </c>
      <c r="K36" s="34">
        <v>0.2402576931036017</v>
      </c>
      <c r="L36" s="34">
        <v>0.26251933625148677</v>
      </c>
      <c r="M36" s="34">
        <v>0.22841672628949394</v>
      </c>
      <c r="N36" s="34">
        <v>0.24421476687342328</v>
      </c>
      <c r="O36" s="34">
        <v>0.55667210678710377</v>
      </c>
      <c r="P36" s="34">
        <v>0.41921815456233047</v>
      </c>
      <c r="Q36" s="34">
        <v>0.35622246015571896</v>
      </c>
      <c r="R36" s="34">
        <v>0.37486105189062557</v>
      </c>
      <c r="S36" s="34">
        <v>0.47261019192493697</v>
      </c>
      <c r="T36" s="34">
        <v>0.24294892789964925</v>
      </c>
      <c r="U36" s="34">
        <v>0.34312980945431876</v>
      </c>
      <c r="V36" s="34">
        <v>0.43699906868262639</v>
      </c>
      <c r="W36" s="34">
        <v>0.36155262259376514</v>
      </c>
      <c r="X36" s="34">
        <v>0.48363575190583935</v>
      </c>
      <c r="Y36" s="34">
        <v>0.46316494709639194</v>
      </c>
      <c r="Z36" s="34">
        <v>0.513817620287782</v>
      </c>
      <c r="AA36" s="34">
        <v>0.48309972957756736</v>
      </c>
      <c r="AB36" s="34">
        <v>1</v>
      </c>
      <c r="AC36" s="34">
        <v>0.53148354347355564</v>
      </c>
      <c r="AD36" s="34">
        <v>0.40742890295551293</v>
      </c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</row>
    <row r="37" spans="1:167" ht="14.5" x14ac:dyDescent="0.35">
      <c r="A37" s="28" t="s">
        <v>90</v>
      </c>
      <c r="B37" s="33">
        <v>0.20232681939391869</v>
      </c>
      <c r="C37" s="34">
        <v>0.33639023704738691</v>
      </c>
      <c r="D37" s="34">
        <v>0.32536550550110488</v>
      </c>
      <c r="E37" s="34">
        <v>9.8043604017419378E-2</v>
      </c>
      <c r="F37" s="34">
        <v>6.3192074311584648E-2</v>
      </c>
      <c r="G37" s="34">
        <v>0.30945965213524568</v>
      </c>
      <c r="H37" s="34">
        <v>0.28410258223384838</v>
      </c>
      <c r="I37" s="34">
        <v>0.21571121474459176</v>
      </c>
      <c r="J37" s="34">
        <v>0.19404302801392526</v>
      </c>
      <c r="K37" s="34">
        <v>0.27443565991873531</v>
      </c>
      <c r="L37" s="34">
        <v>0.30110351942526409</v>
      </c>
      <c r="M37" s="34">
        <v>0.26706284696631921</v>
      </c>
      <c r="N37" s="34">
        <v>0.29171550040906136</v>
      </c>
      <c r="O37" s="34">
        <v>0.50910147905690006</v>
      </c>
      <c r="P37" s="34">
        <v>0.44070585766211795</v>
      </c>
      <c r="Q37" s="34">
        <v>0.38807870879265727</v>
      </c>
      <c r="R37" s="34">
        <v>0.39330254515390967</v>
      </c>
      <c r="S37" s="34">
        <v>0.52330717452611097</v>
      </c>
      <c r="T37" s="34">
        <v>0.29063841662177164</v>
      </c>
      <c r="U37" s="34">
        <v>0.38926003852447155</v>
      </c>
      <c r="V37" s="34">
        <v>0.4549558251200348</v>
      </c>
      <c r="W37" s="34">
        <v>0.37547322411565431</v>
      </c>
      <c r="X37" s="34">
        <v>0.5130573566943456</v>
      </c>
      <c r="Y37" s="34">
        <v>0.48080417095714434</v>
      </c>
      <c r="Z37" s="34">
        <v>0.52372116450790374</v>
      </c>
      <c r="AA37" s="34">
        <v>0.53456560925673857</v>
      </c>
      <c r="AB37" s="34">
        <v>0.53148354347355564</v>
      </c>
      <c r="AC37" s="34">
        <v>1</v>
      </c>
      <c r="AD37" s="34">
        <v>0.45913635103759431</v>
      </c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</row>
    <row r="38" spans="1:167" ht="14.5" x14ac:dyDescent="0.35">
      <c r="A38" s="28" t="s">
        <v>91</v>
      </c>
      <c r="B38" s="33">
        <v>0.18097829369859775</v>
      </c>
      <c r="C38" s="34">
        <v>0.26621523864816377</v>
      </c>
      <c r="D38" s="34">
        <v>0.19620763855901063</v>
      </c>
      <c r="E38" s="34">
        <v>8.9302931506260119E-2</v>
      </c>
      <c r="F38" s="34">
        <v>1.6071737785735063E-2</v>
      </c>
      <c r="G38" s="34">
        <v>0.2382247616689793</v>
      </c>
      <c r="H38" s="34">
        <v>0.19575281840982728</v>
      </c>
      <c r="I38" s="34">
        <v>0.18139690146938917</v>
      </c>
      <c r="J38" s="34">
        <v>0.18152652489981069</v>
      </c>
      <c r="K38" s="34">
        <v>0.21119554934940354</v>
      </c>
      <c r="L38" s="34">
        <v>0.23158090533418013</v>
      </c>
      <c r="M38" s="34">
        <v>0.19439489888061218</v>
      </c>
      <c r="N38" s="34">
        <v>0.24252609710607775</v>
      </c>
      <c r="O38" s="34">
        <v>0.42608234976478704</v>
      </c>
      <c r="P38" s="34">
        <v>0.33944320984995746</v>
      </c>
      <c r="Q38" s="34">
        <v>0.29101843571056768</v>
      </c>
      <c r="R38" s="34">
        <v>0.30199605042185401</v>
      </c>
      <c r="S38" s="34">
        <v>0.43952697674898145</v>
      </c>
      <c r="T38" s="34">
        <v>0.26626220897449437</v>
      </c>
      <c r="U38" s="34">
        <v>0.33874824264023623</v>
      </c>
      <c r="V38" s="34">
        <v>0.38460001304360719</v>
      </c>
      <c r="W38" s="34">
        <v>0.32208980844766938</v>
      </c>
      <c r="X38" s="34">
        <v>0.37492880751318786</v>
      </c>
      <c r="Y38" s="34">
        <v>0.38890256326997064</v>
      </c>
      <c r="Z38" s="34">
        <v>0.41911180722638242</v>
      </c>
      <c r="AA38" s="34">
        <v>0.38140944069214933</v>
      </c>
      <c r="AB38" s="34">
        <v>0.40742890295551293</v>
      </c>
      <c r="AC38" s="34">
        <v>0.45913635103759431</v>
      </c>
      <c r="AD38" s="34">
        <v>1</v>
      </c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</row>
    <row r="39" spans="1:167" ht="14.5" x14ac:dyDescent="0.35">
      <c r="B39" s="33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</row>
    <row r="40" spans="1:167" ht="14.5" x14ac:dyDescent="0.35">
      <c r="B40" s="33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</row>
    <row r="41" spans="1:167" ht="14.5" x14ac:dyDescent="0.35">
      <c r="B41" s="33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</row>
    <row r="42" spans="1:167" ht="14.5" x14ac:dyDescent="0.35">
      <c r="B42" s="33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</row>
    <row r="43" spans="1:167" ht="14.5" x14ac:dyDescent="0.35">
      <c r="B43" s="33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</row>
    <row r="44" spans="1:167" ht="14.5" x14ac:dyDescent="0.35">
      <c r="B44" s="33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</row>
    <row r="45" spans="1:167" ht="14.5" x14ac:dyDescent="0.35">
      <c r="B45" s="33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</row>
    <row r="46" spans="1:167" ht="14.5" x14ac:dyDescent="0.35">
      <c r="B46" s="33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</row>
    <row r="47" spans="1:167" ht="14.5" x14ac:dyDescent="0.35">
      <c r="B47" s="33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</row>
    <row r="48" spans="1:167" ht="14.5" x14ac:dyDescent="0.35">
      <c r="B48" s="33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</row>
    <row r="49" spans="1:167" ht="14.5" x14ac:dyDescent="0.35">
      <c r="B49" s="33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</row>
    <row r="50" spans="1:167" ht="14.5" x14ac:dyDescent="0.35">
      <c r="B50" s="33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</row>
    <row r="51" spans="1:167" ht="14.5" x14ac:dyDescent="0.35">
      <c r="B51" s="33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</row>
    <row r="52" spans="1:167" ht="14.5" x14ac:dyDescent="0.35">
      <c r="B52" s="33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</row>
    <row r="53" spans="1:167" ht="14.5" x14ac:dyDescent="0.35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</row>
    <row r="54" spans="1:167" ht="14.5" x14ac:dyDescent="0.35">
      <c r="B54" s="33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</row>
    <row r="55" spans="1:167" ht="14.5" x14ac:dyDescent="0.35">
      <c r="A55" s="33"/>
      <c r="B55" s="33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</row>
    <row r="56" spans="1:167" ht="14.5" x14ac:dyDescent="0.35">
      <c r="A56" s="33"/>
      <c r="B56" s="33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</row>
    <row r="57" spans="1:167" ht="14.5" x14ac:dyDescent="0.35">
      <c r="A57" s="33"/>
      <c r="B57" s="33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</row>
    <row r="58" spans="1:167" ht="14.5" x14ac:dyDescent="0.35">
      <c r="A58" s="33"/>
      <c r="B58" s="3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</row>
    <row r="59" spans="1:167" ht="14.5" x14ac:dyDescent="0.35">
      <c r="A59" s="33"/>
      <c r="B59" s="3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</row>
    <row r="60" spans="1:167" ht="14.5" x14ac:dyDescent="0.35">
      <c r="A60" s="33"/>
      <c r="B60" s="33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</row>
    <row r="61" spans="1:167" ht="14.5" x14ac:dyDescent="0.35">
      <c r="A61" s="33"/>
      <c r="B61" s="33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</row>
    <row r="62" spans="1:167" ht="14.5" x14ac:dyDescent="0.35">
      <c r="A62" s="33"/>
      <c r="B62" s="33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</row>
    <row r="63" spans="1:167" ht="14.5" x14ac:dyDescent="0.35">
      <c r="A63" s="33"/>
      <c r="B63" s="3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</row>
    <row r="64" spans="1:167" ht="14.5" x14ac:dyDescent="0.35">
      <c r="A64" s="33"/>
      <c r="B64" s="33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</row>
    <row r="65" spans="2:167" ht="14.5" x14ac:dyDescent="0.35">
      <c r="B65" s="33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</row>
    <row r="66" spans="2:167" ht="14.5" x14ac:dyDescent="0.35">
      <c r="B66" s="33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</row>
    <row r="67" spans="2:167" ht="14.5" x14ac:dyDescent="0.35">
      <c r="B67" s="33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</row>
    <row r="68" spans="2:167" ht="14.5" x14ac:dyDescent="0.35">
      <c r="B68" s="33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</row>
    <row r="69" spans="2:167" ht="14.5" x14ac:dyDescent="0.35">
      <c r="B69" s="33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</row>
    <row r="70" spans="2:167" ht="14.5" x14ac:dyDescent="0.35">
      <c r="B70" s="33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</row>
    <row r="71" spans="2:167" ht="14.5" x14ac:dyDescent="0.35">
      <c r="B71" s="33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</row>
    <row r="72" spans="2:167" ht="14.5" x14ac:dyDescent="0.35">
      <c r="B72" s="33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</row>
    <row r="73" spans="2:167" ht="14.5" x14ac:dyDescent="0.35">
      <c r="B73" s="33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</row>
    <row r="74" spans="2:167" ht="14.5" x14ac:dyDescent="0.35">
      <c r="B74" s="33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</row>
    <row r="75" spans="2:167" ht="14.5" x14ac:dyDescent="0.35">
      <c r="B75" s="33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</row>
    <row r="76" spans="2:167" ht="14.5" x14ac:dyDescent="0.35">
      <c r="B76" s="33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</row>
    <row r="77" spans="2:167" ht="14.5" x14ac:dyDescent="0.35">
      <c r="B77" s="33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</row>
    <row r="78" spans="2:167" ht="14.5" x14ac:dyDescent="0.35">
      <c r="B78" s="33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</row>
    <row r="79" spans="2:167" ht="14.5" x14ac:dyDescent="0.35">
      <c r="B79" s="33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</row>
    <row r="80" spans="2:167" ht="14.5" x14ac:dyDescent="0.35">
      <c r="B80" s="33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</row>
    <row r="81" spans="2:167" ht="14.5" x14ac:dyDescent="0.35">
      <c r="B81" s="33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</row>
    <row r="82" spans="2:167" ht="14.5" x14ac:dyDescent="0.35">
      <c r="B82" s="33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</row>
    <row r="83" spans="2:167" ht="14.5" x14ac:dyDescent="0.35">
      <c r="B83" s="33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</row>
    <row r="84" spans="2:167" ht="14.5" x14ac:dyDescent="0.35">
      <c r="B84" s="33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</row>
    <row r="85" spans="2:167" ht="14.5" x14ac:dyDescent="0.35">
      <c r="B85" s="33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</row>
    <row r="86" spans="2:167" ht="14.5" x14ac:dyDescent="0.35">
      <c r="B86" s="33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</row>
    <row r="87" spans="2:167" ht="14.5" x14ac:dyDescent="0.35">
      <c r="B87" s="33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</row>
    <row r="88" spans="2:167" ht="14.5" x14ac:dyDescent="0.35">
      <c r="B88" s="33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</row>
    <row r="89" spans="2:167" ht="14.5" x14ac:dyDescent="0.35">
      <c r="B89" s="33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</row>
    <row r="90" spans="2:167" ht="14.5" x14ac:dyDescent="0.35">
      <c r="B90" s="33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</row>
    <row r="91" spans="2:167" ht="14.5" x14ac:dyDescent="0.35">
      <c r="B91" s="33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</row>
    <row r="92" spans="2:167" ht="14.5" x14ac:dyDescent="0.35">
      <c r="B92" s="33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</row>
    <row r="93" spans="2:167" ht="14.5" x14ac:dyDescent="0.35">
      <c r="B93" s="33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</row>
    <row r="94" spans="2:167" ht="14.5" x14ac:dyDescent="0.35">
      <c r="B94" s="33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</row>
    <row r="95" spans="2:167" ht="14.5" x14ac:dyDescent="0.35">
      <c r="B95" s="33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</row>
    <row r="96" spans="2:167" ht="14.5" x14ac:dyDescent="0.35">
      <c r="B96" s="3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</row>
    <row r="97" spans="2:167" ht="14.5" x14ac:dyDescent="0.35">
      <c r="B97" s="33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</row>
    <row r="98" spans="2:167" ht="14.5" x14ac:dyDescent="0.35">
      <c r="B98" s="33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</row>
    <row r="99" spans="2:167" ht="14.5" x14ac:dyDescent="0.35">
      <c r="B99" s="33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</row>
    <row r="100" spans="2:167" ht="14.5" x14ac:dyDescent="0.35">
      <c r="B100" s="33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</row>
    <row r="101" spans="2:167" ht="14.5" x14ac:dyDescent="0.35">
      <c r="B101" s="33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</row>
    <row r="102" spans="2:167" ht="14.5" x14ac:dyDescent="0.35">
      <c r="B102" s="33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</row>
    <row r="103" spans="2:167" ht="14.5" x14ac:dyDescent="0.35">
      <c r="B103" s="33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</row>
    <row r="104" spans="2:167" ht="14.5" x14ac:dyDescent="0.35">
      <c r="B104" s="33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</row>
    <row r="105" spans="2:167" ht="14.5" x14ac:dyDescent="0.35">
      <c r="B105" s="33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</row>
    <row r="106" spans="2:167" ht="14.5" x14ac:dyDescent="0.35">
      <c r="B106" s="33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</row>
    <row r="107" spans="2:167" ht="14.5" x14ac:dyDescent="0.35">
      <c r="B107" s="33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</row>
    <row r="108" spans="2:167" ht="14.5" x14ac:dyDescent="0.35">
      <c r="B108" s="33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</row>
    <row r="109" spans="2:167" ht="14.5" x14ac:dyDescent="0.35">
      <c r="B109" s="33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</row>
    <row r="110" spans="2:167" ht="14.5" x14ac:dyDescent="0.35">
      <c r="B110" s="33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</row>
    <row r="111" spans="2:167" ht="14.5" x14ac:dyDescent="0.35">
      <c r="B111" s="33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</row>
    <row r="112" spans="2:167" ht="14.5" x14ac:dyDescent="0.35">
      <c r="B112" s="33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</row>
    <row r="113" spans="2:167" ht="14.5" x14ac:dyDescent="0.35">
      <c r="B113" s="33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</row>
    <row r="114" spans="2:167" ht="14.5" x14ac:dyDescent="0.35">
      <c r="B114" s="33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</row>
    <row r="115" spans="2:167" ht="14.5" x14ac:dyDescent="0.35">
      <c r="B115" s="33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</row>
    <row r="116" spans="2:167" ht="14.5" x14ac:dyDescent="0.35">
      <c r="B116" s="33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</row>
    <row r="117" spans="2:167" ht="14.5" x14ac:dyDescent="0.35">
      <c r="B117" s="33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</row>
    <row r="118" spans="2:167" ht="14.5" x14ac:dyDescent="0.35">
      <c r="B118" s="33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</row>
    <row r="119" spans="2:167" ht="14.5" x14ac:dyDescent="0.35">
      <c r="B119" s="33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</row>
    <row r="120" spans="2:167" ht="14.5" x14ac:dyDescent="0.35">
      <c r="B120" s="33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</row>
    <row r="121" spans="2:167" ht="14.5" x14ac:dyDescent="0.35">
      <c r="B121" s="33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</row>
    <row r="122" spans="2:167" ht="14.5" x14ac:dyDescent="0.35">
      <c r="B122" s="33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</row>
    <row r="123" spans="2:167" ht="14.5" x14ac:dyDescent="0.35">
      <c r="B123" s="33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</row>
    <row r="124" spans="2:167" ht="14.5" x14ac:dyDescent="0.35">
      <c r="B124" s="33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</row>
    <row r="125" spans="2:167" ht="14.5" x14ac:dyDescent="0.35">
      <c r="B125" s="33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</row>
    <row r="126" spans="2:167" ht="14.5" x14ac:dyDescent="0.35">
      <c r="B126" s="33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</row>
    <row r="127" spans="2:167" ht="14.5" x14ac:dyDescent="0.35">
      <c r="B127" s="33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</row>
    <row r="128" spans="2:167" ht="14.5" x14ac:dyDescent="0.35">
      <c r="B128" s="33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</row>
    <row r="129" spans="2:167" ht="14.5" x14ac:dyDescent="0.35">
      <c r="B129" s="33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</row>
    <row r="130" spans="2:167" ht="14.5" x14ac:dyDescent="0.35">
      <c r="B130" s="33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</row>
    <row r="131" spans="2:167" ht="14.5" x14ac:dyDescent="0.35">
      <c r="B131" s="33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</row>
    <row r="132" spans="2:167" ht="14.5" x14ac:dyDescent="0.35">
      <c r="B132" s="33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</row>
    <row r="133" spans="2:167" ht="14.5" x14ac:dyDescent="0.35">
      <c r="B133" s="33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</row>
    <row r="134" spans="2:167" ht="14.5" x14ac:dyDescent="0.35">
      <c r="B134" s="33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</row>
    <row r="135" spans="2:167" ht="14.5" x14ac:dyDescent="0.35">
      <c r="B135" s="33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</row>
    <row r="136" spans="2:167" ht="14.5" x14ac:dyDescent="0.35">
      <c r="B136" s="33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</row>
    <row r="137" spans="2:167" ht="14.5" x14ac:dyDescent="0.35">
      <c r="B137" s="33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</row>
    <row r="138" spans="2:167" ht="14.5" x14ac:dyDescent="0.35">
      <c r="B138" s="33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</row>
    <row r="139" spans="2:167" ht="14.5" x14ac:dyDescent="0.35">
      <c r="B139" s="33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</row>
    <row r="140" spans="2:167" ht="14.5" x14ac:dyDescent="0.35">
      <c r="B140" s="33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</row>
    <row r="141" spans="2:167" ht="14.5" x14ac:dyDescent="0.35">
      <c r="B141" s="33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</row>
    <row r="142" spans="2:167" ht="14.5" x14ac:dyDescent="0.35">
      <c r="B142" s="33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</row>
    <row r="143" spans="2:167" ht="14.5" x14ac:dyDescent="0.35">
      <c r="B143" s="33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</row>
    <row r="144" spans="2:167" ht="14.5" x14ac:dyDescent="0.35">
      <c r="B144" s="33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</row>
    <row r="145" spans="2:167" ht="14.5" x14ac:dyDescent="0.35">
      <c r="B145" s="33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</row>
    <row r="146" spans="2:167" ht="14.5" x14ac:dyDescent="0.35">
      <c r="B146" s="33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</row>
    <row r="147" spans="2:167" ht="14.5" x14ac:dyDescent="0.35">
      <c r="B147" s="33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</row>
    <row r="148" spans="2:167" ht="14.5" x14ac:dyDescent="0.35">
      <c r="B148" s="33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</row>
    <row r="149" spans="2:167" ht="14.5" x14ac:dyDescent="0.35">
      <c r="B149" s="33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</row>
    <row r="150" spans="2:167" ht="14.5" x14ac:dyDescent="0.35">
      <c r="B150" s="33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</row>
    <row r="151" spans="2:167" ht="14.5" x14ac:dyDescent="0.35">
      <c r="B151" s="33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</row>
    <row r="152" spans="2:167" ht="14.5" x14ac:dyDescent="0.35">
      <c r="B152" s="33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</row>
  </sheetData>
  <conditionalFormatting sqref="C52:F143 D11:F51 AR11:AT108 G11:AQ152 AU11:FK152 E144:E152">
    <cfRule type="expression" dxfId="17" priority="17" stopIfTrue="1">
      <formula>IF(C11=1,1,0)</formula>
    </cfRule>
    <cfRule type="expression" dxfId="16" priority="18" stopIfTrue="1">
      <formula>IF(C11&gt;$B$8,1,0)</formula>
    </cfRule>
  </conditionalFormatting>
  <conditionalFormatting sqref="A65:A143">
    <cfRule type="expression" dxfId="15" priority="16" stopIfTrue="1">
      <formula>IF(B65&lt;0.1,1,0)</formula>
    </cfRule>
  </conditionalFormatting>
  <conditionalFormatting sqref="C144:C152">
    <cfRule type="expression" dxfId="14" priority="14" stopIfTrue="1">
      <formula>IF(C144=1,1,0)</formula>
    </cfRule>
    <cfRule type="expression" dxfId="13" priority="15" stopIfTrue="1">
      <formula>IF(C144&gt;$B$8,1,0)</formula>
    </cfRule>
  </conditionalFormatting>
  <conditionalFormatting sqref="A144:A152">
    <cfRule type="expression" dxfId="12" priority="13" stopIfTrue="1">
      <formula>IF(B144&lt;0.1,1,0)</formula>
    </cfRule>
  </conditionalFormatting>
  <conditionalFormatting sqref="F144:F152">
    <cfRule type="expression" dxfId="11" priority="11" stopIfTrue="1">
      <formula>IF(F144=1,1,0)</formula>
    </cfRule>
    <cfRule type="expression" dxfId="10" priority="12" stopIfTrue="1">
      <formula>IF(F144&gt;$B$8,1,0)</formula>
    </cfRule>
  </conditionalFormatting>
  <conditionalFormatting sqref="B144:B15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4:C15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4:C1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4:D152">
    <cfRule type="expression" dxfId="9" priority="6" stopIfTrue="1">
      <formula>IF(D144=1,1,0)</formula>
    </cfRule>
    <cfRule type="expression" dxfId="8" priority="7" stopIfTrue="1">
      <formula>IF(D144&gt;$B$8,1,0)</formula>
    </cfRule>
  </conditionalFormatting>
  <conditionalFormatting sqref="C144:C1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4:B1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14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:C14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5:A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">
    <cfRule type="expression" dxfId="7" priority="1" stopIfTrue="1">
      <formula>IF(C11=1,1,0)</formula>
    </cfRule>
    <cfRule type="expression" dxfId="6" priority="2" stopIfTrue="1">
      <formula>IF(C11&gt;$B$8,1,0)</formula>
    </cfRule>
  </conditionalFormatting>
  <conditionalFormatting sqref="B11:B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C5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2225" r:id="rId4" name="cmdEditLabels">
          <controlPr defaultSize="0" autoLine="0" r:id="rId5">
            <anchor moveWithCells="1">
              <from>
                <xdr:col>2</xdr:col>
                <xdr:colOff>0</xdr:colOff>
                <xdr:row>0</xdr:row>
                <xdr:rowOff>82550</xdr:rowOff>
              </from>
              <to>
                <xdr:col>2</xdr:col>
                <xdr:colOff>6350</xdr:colOff>
                <xdr:row>3</xdr:row>
                <xdr:rowOff>107950</xdr:rowOff>
              </to>
            </anchor>
          </controlPr>
        </control>
      </mc:Choice>
      <mc:Fallback>
        <control shapeId="52225" r:id="rId4" name="cmdEditLabel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D95B1-3799-42B3-95B3-55CB5B67E1CF}">
  <sheetPr codeName="Sheet4"/>
  <dimension ref="A1:M58"/>
  <sheetViews>
    <sheetView zoomScale="60" zoomScaleNormal="60" workbookViewId="0"/>
  </sheetViews>
  <sheetFormatPr defaultColWidth="9.08984375" defaultRowHeight="13.5" x14ac:dyDescent="0.3"/>
  <cols>
    <col min="1" max="1" width="48.08984375" style="28" customWidth="1"/>
    <col min="2" max="2" width="16" style="28" customWidth="1"/>
    <col min="3" max="13" width="13.36328125" style="28" customWidth="1"/>
    <col min="14" max="16384" width="9.08984375" style="28"/>
  </cols>
  <sheetData>
    <row r="1" spans="1:13" x14ac:dyDescent="0.3">
      <c r="A1" s="26" t="s">
        <v>101</v>
      </c>
      <c r="B1" s="26"/>
      <c r="C1" s="27"/>
    </row>
    <row r="2" spans="1:13" x14ac:dyDescent="0.3">
      <c r="A2" s="26" t="s">
        <v>71</v>
      </c>
      <c r="B2" s="26"/>
    </row>
    <row r="3" spans="1:13" x14ac:dyDescent="0.3">
      <c r="A3" s="26" t="s">
        <v>100</v>
      </c>
      <c r="B3" s="26"/>
    </row>
    <row r="4" spans="1:13" x14ac:dyDescent="0.3">
      <c r="A4" s="26" t="s">
        <v>92</v>
      </c>
      <c r="B4" s="26"/>
    </row>
    <row r="5" spans="1:13" x14ac:dyDescent="0.3">
      <c r="A5" s="26" t="s">
        <v>0</v>
      </c>
      <c r="B5" s="26"/>
    </row>
    <row r="6" spans="1:13" x14ac:dyDescent="0.3">
      <c r="A6" s="26" t="s">
        <v>75</v>
      </c>
    </row>
    <row r="7" spans="1:13" x14ac:dyDescent="0.3">
      <c r="A7" s="26"/>
    </row>
    <row r="8" spans="1:13" s="39" customFormat="1" ht="37.5" customHeight="1" x14ac:dyDescent="0.35">
      <c r="A8" s="38" t="s">
        <v>5</v>
      </c>
      <c r="B8" s="39" t="s">
        <v>68</v>
      </c>
      <c r="C8" s="39" t="s">
        <v>69</v>
      </c>
      <c r="D8" s="39" t="s">
        <v>70</v>
      </c>
    </row>
    <row r="9" spans="1:13" s="41" customFormat="1" ht="18.75" customHeight="1" x14ac:dyDescent="0.35">
      <c r="A9" s="40" t="s">
        <v>6</v>
      </c>
      <c r="B9" s="53">
        <v>1540.3796</v>
      </c>
      <c r="C9" s="53">
        <v>1524.3100999999999</v>
      </c>
      <c r="D9" s="53">
        <v>1503.1764000000001</v>
      </c>
    </row>
    <row r="10" spans="1:13" ht="14.5" x14ac:dyDescent="0.35">
      <c r="A10" s="42" t="s">
        <v>96</v>
      </c>
      <c r="B10" s="47">
        <v>1.2359394315973851</v>
      </c>
      <c r="C10" s="47">
        <v>1.0738861723117268</v>
      </c>
      <c r="D10" s="47">
        <v>1.0065668377100159</v>
      </c>
      <c r="E10" s="43"/>
      <c r="F10" s="43"/>
      <c r="G10" s="43"/>
      <c r="H10" s="43"/>
      <c r="I10" s="43"/>
      <c r="J10" s="43"/>
      <c r="K10" s="43"/>
      <c r="L10" s="43"/>
      <c r="M10" s="43"/>
    </row>
    <row r="11" spans="1:13" x14ac:dyDescent="0.3">
      <c r="A11" s="42" t="s">
        <v>97</v>
      </c>
      <c r="B11" s="44">
        <v>182.14767694613556</v>
      </c>
      <c r="C11" s="44">
        <v>121.27326654157319</v>
      </c>
      <c r="D11" s="44">
        <v>103.60544086986063</v>
      </c>
      <c r="E11" s="44"/>
      <c r="F11" s="44"/>
      <c r="G11" s="44"/>
      <c r="H11" s="44"/>
      <c r="I11" s="44"/>
      <c r="J11" s="44"/>
      <c r="K11" s="44"/>
      <c r="L11" s="44"/>
      <c r="M11" s="44"/>
    </row>
    <row r="12" spans="1:13" x14ac:dyDescent="0.3">
      <c r="A12" s="42" t="s">
        <v>98</v>
      </c>
      <c r="B12" s="44">
        <v>152.69086754462603</v>
      </c>
      <c r="C12" s="44">
        <v>91.765287029097095</v>
      </c>
      <c r="D12" s="44">
        <v>90.69089173935042</v>
      </c>
      <c r="E12" s="44"/>
      <c r="F12" s="44"/>
      <c r="G12" s="44"/>
      <c r="H12" s="44"/>
      <c r="I12" s="44"/>
      <c r="J12" s="44"/>
      <c r="K12" s="44"/>
      <c r="L12" s="44"/>
      <c r="M12" s="44"/>
    </row>
    <row r="13" spans="1:13" x14ac:dyDescent="0.3">
      <c r="A13" s="42" t="s">
        <v>99</v>
      </c>
      <c r="B13" s="44">
        <v>256.3508326475183</v>
      </c>
      <c r="C13" s="44">
        <v>132.92190049017708</v>
      </c>
      <c r="D13" s="44">
        <v>74.792075256567983</v>
      </c>
      <c r="E13" s="44"/>
      <c r="F13" s="44"/>
      <c r="G13" s="44"/>
      <c r="H13" s="44"/>
      <c r="I13" s="44"/>
      <c r="J13" s="44"/>
      <c r="K13" s="44"/>
      <c r="L13" s="44"/>
      <c r="M13" s="44"/>
    </row>
    <row r="14" spans="1:13" ht="14.5" x14ac:dyDescent="0.35">
      <c r="A14" s="45" t="s">
        <v>60</v>
      </c>
      <c r="B14" s="43">
        <v>0.62649382009473487</v>
      </c>
      <c r="C14" s="43">
        <v>0.29690152941976888</v>
      </c>
      <c r="D14" s="43">
        <v>0.19970404005810685</v>
      </c>
      <c r="E14" s="43"/>
      <c r="F14" s="43"/>
      <c r="G14" s="43"/>
      <c r="H14" s="43"/>
      <c r="I14" s="43"/>
      <c r="J14" s="43"/>
      <c r="K14" s="43"/>
      <c r="L14" s="43"/>
      <c r="M14" s="43"/>
    </row>
    <row r="15" spans="1:13" ht="14.5" x14ac:dyDescent="0.35">
      <c r="A15" s="45" t="s">
        <v>61</v>
      </c>
      <c r="B15" s="43">
        <v>0.81563719748041286</v>
      </c>
      <c r="C15" s="43">
        <v>0.61051606231566635</v>
      </c>
      <c r="D15" s="43">
        <v>0.47222262137697252</v>
      </c>
      <c r="E15" s="43"/>
      <c r="F15" s="43"/>
      <c r="G15" s="43"/>
      <c r="H15" s="43"/>
      <c r="I15" s="43"/>
      <c r="J15" s="43"/>
      <c r="K15" s="43"/>
      <c r="L15" s="43"/>
      <c r="M15" s="43"/>
    </row>
    <row r="16" spans="1:13" ht="14.5" x14ac:dyDescent="0.35">
      <c r="A16" s="45" t="s">
        <v>62</v>
      </c>
      <c r="B16" s="43">
        <v>0.53517645910137979</v>
      </c>
      <c r="C16" s="43">
        <v>0.23875496199887461</v>
      </c>
      <c r="D16" s="43">
        <v>0.2046416508401814</v>
      </c>
      <c r="E16" s="43"/>
      <c r="F16" s="43"/>
      <c r="G16" s="43"/>
      <c r="H16" s="43"/>
      <c r="I16" s="43"/>
      <c r="J16" s="43"/>
      <c r="K16" s="43"/>
      <c r="L16" s="43"/>
      <c r="M16" s="43"/>
    </row>
    <row r="17" spans="1:13" ht="14.5" x14ac:dyDescent="0.35">
      <c r="A17" s="45" t="s">
        <v>63</v>
      </c>
      <c r="B17" s="43">
        <v>0.68546006451916075</v>
      </c>
      <c r="C17" s="43">
        <v>0.44711105699555576</v>
      </c>
      <c r="D17" s="43">
        <v>0.38089834300219244</v>
      </c>
      <c r="E17" s="43"/>
      <c r="F17" s="43"/>
      <c r="G17" s="43"/>
      <c r="H17" s="43"/>
      <c r="I17" s="43"/>
      <c r="J17" s="43"/>
      <c r="K17" s="43"/>
      <c r="L17" s="43"/>
      <c r="M17" s="43"/>
    </row>
    <row r="18" spans="1:13" ht="14.5" x14ac:dyDescent="0.35">
      <c r="A18" s="45" t="s">
        <v>64</v>
      </c>
      <c r="B18" s="43">
        <v>0.61268793744087457</v>
      </c>
      <c r="C18" s="43">
        <v>0.33431032176458142</v>
      </c>
      <c r="D18" s="43">
        <v>0.26831667926665215</v>
      </c>
      <c r="E18" s="43"/>
      <c r="F18" s="43"/>
      <c r="G18" s="43"/>
      <c r="H18" s="43"/>
      <c r="I18" s="43"/>
      <c r="J18" s="43"/>
      <c r="K18" s="43"/>
      <c r="L18" s="43"/>
      <c r="M18" s="43"/>
    </row>
    <row r="19" spans="1:13" ht="14.5" x14ac:dyDescent="0.35">
      <c r="A19" s="45" t="s">
        <v>65</v>
      </c>
      <c r="B19" s="43">
        <v>0.74201898025655433</v>
      </c>
      <c r="C19" s="43">
        <v>0.52267934195279575</v>
      </c>
      <c r="D19" s="43">
        <v>0.43774629511213775</v>
      </c>
      <c r="E19" s="43"/>
      <c r="F19" s="43"/>
      <c r="G19" s="43"/>
      <c r="H19" s="43"/>
      <c r="I19" s="43"/>
      <c r="J19" s="43"/>
      <c r="K19" s="43"/>
      <c r="L19" s="43"/>
      <c r="M19" s="43"/>
    </row>
    <row r="20" spans="1:13" ht="14.5" x14ac:dyDescent="0.35">
      <c r="A20" s="45" t="s">
        <v>66</v>
      </c>
      <c r="B20" s="43">
        <v>0.65252259897495368</v>
      </c>
      <c r="C20" s="43">
        <v>0.31741795845871584</v>
      </c>
      <c r="D20" s="43">
        <v>0.20756585853796045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4.5" x14ac:dyDescent="0.35">
      <c r="A21" s="45" t="s">
        <v>67</v>
      </c>
      <c r="B21" s="43">
        <v>0.79828952551695653</v>
      </c>
      <c r="C21" s="43">
        <v>0.49142677726795897</v>
      </c>
      <c r="D21" s="43">
        <v>0.35930799605422287</v>
      </c>
      <c r="E21" s="43"/>
      <c r="F21" s="43"/>
      <c r="G21" s="43"/>
      <c r="H21" s="43"/>
      <c r="I21" s="43"/>
      <c r="J21" s="43"/>
      <c r="K21" s="43"/>
      <c r="L21" s="43"/>
      <c r="M21" s="43"/>
    </row>
    <row r="22" spans="1:13" ht="14.5" x14ac:dyDescent="0.35">
      <c r="A22" s="46" t="s">
        <v>76</v>
      </c>
      <c r="B22" s="43">
        <v>0.6213519057250565</v>
      </c>
      <c r="C22" s="43">
        <v>0.22737158272453939</v>
      </c>
      <c r="D22" s="43">
        <v>0.19873542453167881</v>
      </c>
      <c r="E22" s="43"/>
      <c r="F22" s="43"/>
      <c r="G22" s="43"/>
      <c r="H22" s="43"/>
      <c r="I22" s="43"/>
      <c r="J22" s="43"/>
      <c r="K22" s="43"/>
      <c r="L22" s="43"/>
      <c r="M22" s="43"/>
    </row>
    <row r="23" spans="1:13" ht="14.5" x14ac:dyDescent="0.35">
      <c r="A23" s="46" t="s">
        <v>77</v>
      </c>
      <c r="B23" s="43">
        <v>0.71206564927242577</v>
      </c>
      <c r="C23" s="43">
        <v>0.30862591542232864</v>
      </c>
      <c r="D23" s="43">
        <v>0.27424944936602308</v>
      </c>
      <c r="E23" s="43"/>
      <c r="F23" s="43"/>
      <c r="G23" s="43"/>
      <c r="H23" s="43"/>
      <c r="I23" s="43"/>
      <c r="J23" s="43"/>
      <c r="K23" s="43"/>
      <c r="L23" s="43"/>
      <c r="M23" s="43"/>
    </row>
    <row r="24" spans="1:13" ht="14.5" x14ac:dyDescent="0.35">
      <c r="A24" s="46" t="s">
        <v>78</v>
      </c>
      <c r="B24" s="43">
        <v>0.65150174671230343</v>
      </c>
      <c r="C24" s="43">
        <v>0.3583118028280472</v>
      </c>
      <c r="D24" s="43">
        <v>0.42897034572921811</v>
      </c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4.5" x14ac:dyDescent="0.35">
      <c r="A25" s="46" t="s">
        <v>79</v>
      </c>
      <c r="B25" s="43">
        <v>0.72501843052193071</v>
      </c>
      <c r="C25" s="43">
        <v>0.46816668078234253</v>
      </c>
      <c r="D25" s="43">
        <v>0.39237776750619607</v>
      </c>
      <c r="E25" s="43"/>
      <c r="F25" s="43"/>
      <c r="G25" s="43"/>
      <c r="H25" s="43"/>
      <c r="I25" s="43"/>
      <c r="J25" s="43"/>
      <c r="K25" s="43"/>
      <c r="L25" s="43"/>
      <c r="M25" s="43"/>
    </row>
    <row r="26" spans="1:13" ht="14.5" x14ac:dyDescent="0.35">
      <c r="A26" s="46" t="s">
        <v>80</v>
      </c>
      <c r="B26" s="43">
        <v>0.38715930800433951</v>
      </c>
      <c r="C26" s="43">
        <v>0.20746021429629116</v>
      </c>
      <c r="D26" s="43">
        <v>0.18911206961471774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4.5" x14ac:dyDescent="0.35">
      <c r="A27" s="46" t="s">
        <v>81</v>
      </c>
      <c r="B27" s="43">
        <v>0.80596334825519578</v>
      </c>
      <c r="C27" s="43">
        <v>0.57574669353696439</v>
      </c>
      <c r="D27" s="43">
        <v>0.49994997260467955</v>
      </c>
      <c r="E27" s="43"/>
      <c r="F27" s="43"/>
      <c r="G27" s="43"/>
      <c r="H27" s="43"/>
      <c r="I27" s="43"/>
      <c r="J27" s="43"/>
      <c r="K27" s="43"/>
      <c r="L27" s="43"/>
      <c r="M27" s="43"/>
    </row>
    <row r="28" spans="1:13" ht="14.5" x14ac:dyDescent="0.35">
      <c r="A28" s="46" t="s">
        <v>82</v>
      </c>
      <c r="B28" s="43">
        <v>0.71184537889231925</v>
      </c>
      <c r="C28" s="43">
        <v>0.47275505161318632</v>
      </c>
      <c r="D28" s="43">
        <v>0.40818881935613238</v>
      </c>
      <c r="E28" s="43"/>
      <c r="F28" s="43"/>
      <c r="G28" s="43"/>
      <c r="H28" s="43"/>
      <c r="I28" s="43"/>
      <c r="J28" s="43"/>
      <c r="K28" s="43"/>
      <c r="L28" s="43"/>
      <c r="M28" s="43"/>
    </row>
    <row r="29" spans="1:13" ht="14.5" x14ac:dyDescent="0.35">
      <c r="A29" s="46" t="s">
        <v>83</v>
      </c>
      <c r="B29" s="43">
        <v>0.63536007617862478</v>
      </c>
      <c r="C29" s="43">
        <v>0.3338150157241635</v>
      </c>
      <c r="D29" s="43">
        <v>0.2717656424089685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13" ht="14.5" x14ac:dyDescent="0.35">
      <c r="A30" s="46" t="s">
        <v>84</v>
      </c>
      <c r="B30" s="43">
        <v>0.7294852515574729</v>
      </c>
      <c r="C30" s="43">
        <v>0.44600577008575926</v>
      </c>
      <c r="D30" s="43">
        <v>0.35158468427258505</v>
      </c>
      <c r="E30" s="43"/>
      <c r="F30" s="43"/>
      <c r="G30" s="43"/>
      <c r="H30" s="43"/>
      <c r="I30" s="43"/>
      <c r="J30" s="43"/>
      <c r="K30" s="43"/>
      <c r="L30" s="43"/>
      <c r="M30" s="43"/>
    </row>
    <row r="31" spans="1:13" ht="14.5" x14ac:dyDescent="0.35">
      <c r="A31" s="46" t="s">
        <v>85</v>
      </c>
      <c r="B31" s="43">
        <v>0.53157851480245544</v>
      </c>
      <c r="C31" s="43">
        <v>0.28826096474726565</v>
      </c>
      <c r="D31" s="43">
        <v>0.21713872037905907</v>
      </c>
      <c r="E31" s="43"/>
      <c r="F31" s="43"/>
      <c r="G31" s="43"/>
      <c r="H31" s="43"/>
      <c r="I31" s="43"/>
      <c r="J31" s="43"/>
      <c r="K31" s="43"/>
      <c r="L31" s="43"/>
      <c r="M31" s="43"/>
    </row>
    <row r="32" spans="1:13" ht="14.5" x14ac:dyDescent="0.35">
      <c r="A32" s="46" t="s">
        <v>86</v>
      </c>
      <c r="B32" s="43">
        <v>0.72773263161885504</v>
      </c>
      <c r="C32" s="43">
        <v>0.33495212030675481</v>
      </c>
      <c r="D32" s="43">
        <v>0.24210618261436298</v>
      </c>
      <c r="E32" s="43"/>
      <c r="F32" s="43"/>
      <c r="G32" s="43"/>
      <c r="H32" s="43"/>
      <c r="I32" s="43"/>
      <c r="J32" s="43"/>
      <c r="K32" s="43"/>
      <c r="L32" s="43"/>
      <c r="M32" s="43"/>
    </row>
    <row r="33" spans="1:13" ht="14.5" x14ac:dyDescent="0.35">
      <c r="A33" s="46" t="s">
        <v>87</v>
      </c>
      <c r="B33" s="43">
        <v>0.57742585009565173</v>
      </c>
      <c r="C33" s="43">
        <v>0.28437336995930212</v>
      </c>
      <c r="D33" s="43">
        <v>0.21742790799536299</v>
      </c>
      <c r="E33" s="43"/>
      <c r="F33" s="43"/>
      <c r="G33" s="43"/>
      <c r="H33" s="43"/>
      <c r="I33" s="43"/>
      <c r="J33" s="43"/>
      <c r="K33" s="43"/>
      <c r="L33" s="43"/>
      <c r="M33" s="43"/>
    </row>
    <row r="34" spans="1:13" ht="14.5" x14ac:dyDescent="0.35">
      <c r="A34" s="46" t="s">
        <v>88</v>
      </c>
      <c r="B34" s="43">
        <v>0.64879228470696415</v>
      </c>
      <c r="C34" s="43">
        <v>0.32725834461111386</v>
      </c>
      <c r="D34" s="43">
        <v>0.27012498333528967</v>
      </c>
      <c r="E34" s="43"/>
      <c r="F34" s="43"/>
      <c r="G34" s="43"/>
      <c r="H34" s="43"/>
      <c r="I34" s="43"/>
      <c r="J34" s="43"/>
      <c r="K34" s="43"/>
      <c r="L34" s="43"/>
      <c r="M34" s="43"/>
    </row>
    <row r="35" spans="1:13" ht="14.5" x14ac:dyDescent="0.35">
      <c r="A35" s="46" t="s">
        <v>89</v>
      </c>
      <c r="B35" s="43">
        <v>0.62785387446055507</v>
      </c>
      <c r="C35" s="43">
        <v>0.20425528899926643</v>
      </c>
      <c r="D35" s="43">
        <v>0.18421730144246584</v>
      </c>
      <c r="E35" s="43"/>
      <c r="F35" s="43"/>
      <c r="G35" s="43"/>
      <c r="H35" s="43"/>
      <c r="I35" s="43"/>
      <c r="J35" s="43"/>
      <c r="K35" s="43"/>
      <c r="L35" s="43"/>
      <c r="M35" s="43"/>
    </row>
    <row r="36" spans="1:13" ht="14.5" x14ac:dyDescent="0.35">
      <c r="A36" s="46" t="s">
        <v>90</v>
      </c>
      <c r="B36" s="43">
        <v>0.52078429239130453</v>
      </c>
      <c r="C36" s="43">
        <v>0.27114896109394088</v>
      </c>
      <c r="D36" s="43">
        <v>0.20232681939391869</v>
      </c>
      <c r="E36" s="43"/>
      <c r="F36" s="43"/>
      <c r="G36" s="43"/>
      <c r="H36" s="43"/>
      <c r="I36" s="43"/>
      <c r="J36" s="43"/>
      <c r="K36" s="43"/>
      <c r="L36" s="43"/>
      <c r="M36" s="43"/>
    </row>
    <row r="37" spans="1:13" ht="14.5" x14ac:dyDescent="0.35">
      <c r="A37" s="46" t="s">
        <v>91</v>
      </c>
      <c r="B37" s="43">
        <v>0.44361753427531853</v>
      </c>
      <c r="C37" s="43">
        <v>0.23616920205409722</v>
      </c>
      <c r="D37" s="43">
        <v>0.18097829369859775</v>
      </c>
      <c r="E37" s="43"/>
      <c r="F37" s="43"/>
      <c r="G37" s="43"/>
      <c r="H37" s="43"/>
      <c r="I37" s="43"/>
      <c r="J37" s="43"/>
      <c r="K37" s="43"/>
      <c r="L37" s="43"/>
      <c r="M37" s="43"/>
    </row>
    <row r="38" spans="1:13" ht="14.5" x14ac:dyDescent="0.35"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</row>
    <row r="39" spans="1:13" ht="14.5" x14ac:dyDescent="0.35"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</row>
    <row r="40" spans="1:13" ht="14.5" x14ac:dyDescent="0.35"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</row>
    <row r="41" spans="1:13" ht="14.5" x14ac:dyDescent="0.35"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</row>
    <row r="42" spans="1:13" ht="14.5" x14ac:dyDescent="0.35"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</row>
    <row r="43" spans="1:13" ht="14.5" x14ac:dyDescent="0.35"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</row>
    <row r="44" spans="1:13" ht="14.5" x14ac:dyDescent="0.35"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14.5" x14ac:dyDescent="0.35"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</row>
    <row r="46" spans="1:13" ht="14.5" x14ac:dyDescent="0.35"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</row>
    <row r="47" spans="1:13" ht="14.5" x14ac:dyDescent="0.35"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</row>
    <row r="48" spans="1:13" ht="14.5" x14ac:dyDescent="0.35"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</row>
    <row r="49" spans="2:13" ht="14.5" x14ac:dyDescent="0.35"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</row>
    <row r="50" spans="2:13" ht="14.5" x14ac:dyDescent="0.35"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</row>
    <row r="51" spans="2:13" ht="14.5" x14ac:dyDescent="0.35"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</row>
    <row r="52" spans="2:13" ht="14.5" x14ac:dyDescent="0.35"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</row>
    <row r="53" spans="2:13" ht="14.5" x14ac:dyDescent="0.35"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</row>
    <row r="54" spans="2:13" ht="14.5" x14ac:dyDescent="0.35"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</row>
    <row r="55" spans="2:13" ht="14.5" x14ac:dyDescent="0.35"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</row>
    <row r="56" spans="2:13" ht="14.5" x14ac:dyDescent="0.35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</row>
    <row r="57" spans="2:13" ht="14.5" x14ac:dyDescent="0.35"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</row>
    <row r="58" spans="2:13" x14ac:dyDescent="0.3"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159F-7497-409C-AAE0-B6CF7AF5F7D5}">
  <sheetPr codeName="Sheet15"/>
  <dimension ref="A1:M43"/>
  <sheetViews>
    <sheetView zoomScale="80" zoomScaleNormal="80" workbookViewId="0">
      <selection activeCell="A2" sqref="A2"/>
    </sheetView>
  </sheetViews>
  <sheetFormatPr defaultColWidth="10.36328125" defaultRowHeight="13.5" x14ac:dyDescent="0.3"/>
  <cols>
    <col min="1" max="1" width="62.6328125" style="28" customWidth="1"/>
    <col min="2" max="2" width="13.54296875" style="49" customWidth="1"/>
    <col min="3" max="4" width="13.54296875" style="28" customWidth="1"/>
    <col min="5" max="6" width="14.36328125" style="28" bestFit="1" customWidth="1"/>
    <col min="7" max="7" width="14.08984375" style="28" bestFit="1" customWidth="1"/>
    <col min="8" max="8" width="14.36328125" style="28" bestFit="1" customWidth="1"/>
    <col min="9" max="10" width="14.08984375" style="28" bestFit="1" customWidth="1"/>
    <col min="11" max="11" width="14.36328125" style="28" bestFit="1" customWidth="1"/>
    <col min="12" max="12" width="15.6328125" style="28" customWidth="1"/>
    <col min="13" max="13" width="17.453125" style="28" customWidth="1"/>
    <col min="14" max="16384" width="10.36328125" style="28"/>
  </cols>
  <sheetData>
    <row r="1" spans="1:13" x14ac:dyDescent="0.3">
      <c r="A1" s="26" t="s">
        <v>101</v>
      </c>
    </row>
    <row r="2" spans="1:13" x14ac:dyDescent="0.3">
      <c r="A2" s="26" t="s">
        <v>71</v>
      </c>
    </row>
    <row r="3" spans="1:13" x14ac:dyDescent="0.3">
      <c r="A3" s="26" t="s">
        <v>100</v>
      </c>
    </row>
    <row r="4" spans="1:13" x14ac:dyDescent="0.3">
      <c r="A4" s="26" t="s">
        <v>92</v>
      </c>
    </row>
    <row r="5" spans="1:13" x14ac:dyDescent="0.3">
      <c r="A5" s="26" t="s">
        <v>0</v>
      </c>
    </row>
    <row r="6" spans="1:13" x14ac:dyDescent="0.3">
      <c r="A6" s="26" t="s">
        <v>75</v>
      </c>
    </row>
    <row r="7" spans="1:13" x14ac:dyDescent="0.3">
      <c r="A7" s="26"/>
    </row>
    <row r="8" spans="1:13" s="49" customFormat="1" ht="42.75" customHeight="1" x14ac:dyDescent="0.3">
      <c r="A8" s="51"/>
      <c r="B8" s="39" t="s">
        <v>68</v>
      </c>
      <c r="C8" s="39" t="s">
        <v>69</v>
      </c>
      <c r="D8" s="39" t="s">
        <v>70</v>
      </c>
      <c r="E8" s="39"/>
      <c r="F8" s="39"/>
      <c r="G8" s="39"/>
      <c r="H8" s="39"/>
      <c r="I8" s="39"/>
      <c r="J8" s="39"/>
      <c r="K8" s="39"/>
      <c r="L8" s="39"/>
      <c r="M8" s="39"/>
    </row>
    <row r="9" spans="1:13" x14ac:dyDescent="0.3">
      <c r="A9" s="40" t="s">
        <v>6</v>
      </c>
      <c r="B9" s="55">
        <v>1540.3796</v>
      </c>
      <c r="C9" s="55">
        <v>1524.3100999999999</v>
      </c>
      <c r="D9" s="55">
        <v>1503.1764000000001</v>
      </c>
      <c r="E9" s="52"/>
      <c r="F9" s="52"/>
      <c r="G9" s="52"/>
      <c r="H9" s="52"/>
      <c r="I9" s="52"/>
      <c r="J9" s="52"/>
      <c r="K9" s="52"/>
      <c r="L9" s="52"/>
      <c r="M9" s="52"/>
    </row>
    <row r="10" spans="1:13" x14ac:dyDescent="0.3">
      <c r="A10" s="28" t="s">
        <v>76</v>
      </c>
      <c r="B10" s="56">
        <v>6.5172207599999998</v>
      </c>
      <c r="C10" s="56">
        <v>-3.2281904718000001</v>
      </c>
      <c r="D10" s="56">
        <v>-1.5422789488999999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13" x14ac:dyDescent="0.3">
      <c r="A11" s="28" t="s">
        <v>77</v>
      </c>
      <c r="B11" s="56">
        <v>5.6945148482999999</v>
      </c>
      <c r="C11" s="56">
        <v>-3.8472531302999999</v>
      </c>
      <c r="D11" s="56">
        <v>-1.8081913056000001</v>
      </c>
      <c r="E11" s="50"/>
      <c r="F11" s="50"/>
      <c r="G11" s="50"/>
      <c r="H11" s="50"/>
      <c r="I11" s="50"/>
      <c r="J11" s="50"/>
      <c r="K11" s="50"/>
      <c r="L11" s="50"/>
      <c r="M11" s="50"/>
    </row>
    <row r="12" spans="1:13" x14ac:dyDescent="0.3">
      <c r="A12" s="28" t="s">
        <v>78</v>
      </c>
      <c r="B12" s="56">
        <v>-4.9488174971000003</v>
      </c>
      <c r="C12" s="56">
        <v>-3.7863818653000001</v>
      </c>
      <c r="D12" s="56">
        <v>9.1300579035999991</v>
      </c>
      <c r="E12" s="50"/>
      <c r="F12" s="50"/>
      <c r="G12" s="50"/>
      <c r="H12" s="50"/>
      <c r="I12" s="50"/>
      <c r="J12" s="50"/>
      <c r="K12" s="50"/>
      <c r="L12" s="50"/>
      <c r="M12" s="50"/>
    </row>
    <row r="13" spans="1:13" x14ac:dyDescent="0.3">
      <c r="A13" s="28" t="s">
        <v>79</v>
      </c>
      <c r="B13" s="56">
        <v>-1.9186094669</v>
      </c>
      <c r="C13" s="56">
        <v>1.9362712094000001</v>
      </c>
      <c r="D13" s="56">
        <v>0.48638391240000001</v>
      </c>
      <c r="E13" s="50"/>
      <c r="F13" s="50"/>
      <c r="G13" s="50"/>
      <c r="H13" s="50"/>
      <c r="I13" s="50"/>
      <c r="J13" s="50"/>
      <c r="K13" s="50"/>
      <c r="L13" s="50"/>
      <c r="M13" s="50"/>
    </row>
    <row r="14" spans="1:13" x14ac:dyDescent="0.3">
      <c r="A14" s="28" t="s">
        <v>80</v>
      </c>
      <c r="B14" s="56">
        <v>-7.4896467667</v>
      </c>
      <c r="C14" s="56">
        <v>1.3661173827999999</v>
      </c>
      <c r="D14" s="56">
        <v>3.1722595272</v>
      </c>
      <c r="E14" s="50"/>
      <c r="F14" s="50"/>
      <c r="G14" s="50"/>
      <c r="H14" s="50"/>
      <c r="I14" s="50"/>
      <c r="J14" s="50"/>
      <c r="K14" s="50"/>
      <c r="L14" s="50"/>
      <c r="M14" s="50"/>
    </row>
    <row r="15" spans="1:13" x14ac:dyDescent="0.3">
      <c r="A15" s="28" t="s">
        <v>81</v>
      </c>
      <c r="B15" s="56">
        <v>-1.3012989553000001</v>
      </c>
      <c r="C15" s="56">
        <v>1.7022610687999999</v>
      </c>
      <c r="D15" s="56">
        <v>0.40210497979999998</v>
      </c>
      <c r="E15" s="50"/>
      <c r="F15" s="50"/>
      <c r="G15" s="50"/>
      <c r="H15" s="50"/>
      <c r="I15" s="50"/>
      <c r="J15" s="50"/>
      <c r="K15" s="50"/>
      <c r="L15" s="50"/>
      <c r="M15" s="50"/>
    </row>
    <row r="16" spans="1:13" x14ac:dyDescent="0.3">
      <c r="A16" s="28" t="s">
        <v>82</v>
      </c>
      <c r="B16" s="56">
        <v>-3.3572973287000001</v>
      </c>
      <c r="C16" s="56">
        <v>2.2370733239999998</v>
      </c>
      <c r="D16" s="56">
        <v>1.9158036084000001</v>
      </c>
      <c r="E16" s="50"/>
      <c r="F16" s="50"/>
      <c r="G16" s="50"/>
      <c r="H16" s="50"/>
      <c r="I16" s="50"/>
      <c r="J16" s="50"/>
      <c r="K16" s="50"/>
      <c r="L16" s="50"/>
      <c r="M16" s="50"/>
    </row>
    <row r="17" spans="1:13" x14ac:dyDescent="0.3">
      <c r="A17" s="28" t="s">
        <v>83</v>
      </c>
      <c r="B17" s="56">
        <v>-9.2064165099999998E-2</v>
      </c>
      <c r="C17" s="56">
        <v>0.51401460450000003</v>
      </c>
      <c r="D17" s="56">
        <v>-0.38220912620000003</v>
      </c>
      <c r="E17" s="50"/>
      <c r="F17" s="50"/>
      <c r="G17" s="50"/>
      <c r="H17" s="50"/>
      <c r="I17" s="50"/>
      <c r="J17" s="50"/>
      <c r="K17" s="50"/>
      <c r="L17" s="50"/>
      <c r="M17" s="50"/>
    </row>
    <row r="18" spans="1:13" x14ac:dyDescent="0.3">
      <c r="A18" s="28" t="s">
        <v>84</v>
      </c>
      <c r="B18" s="56">
        <v>9.0699980299999997E-2</v>
      </c>
      <c r="C18" s="56">
        <v>1.7027466614</v>
      </c>
      <c r="D18" s="56">
        <v>-1.7000555965999999</v>
      </c>
      <c r="E18" s="50"/>
      <c r="F18" s="50"/>
      <c r="G18" s="50"/>
      <c r="H18" s="50"/>
      <c r="I18" s="50"/>
      <c r="J18" s="50"/>
      <c r="K18" s="50"/>
      <c r="L18" s="50"/>
      <c r="M18" s="50"/>
    </row>
    <row r="19" spans="1:13" x14ac:dyDescent="0.3">
      <c r="A19" s="28" t="s">
        <v>85</v>
      </c>
      <c r="B19" s="56">
        <v>-2.9725849577000001</v>
      </c>
      <c r="C19" s="56">
        <v>2.4591841540999999</v>
      </c>
      <c r="D19" s="56">
        <v>-5.3840160800000002E-2</v>
      </c>
      <c r="E19" s="50"/>
      <c r="F19" s="50"/>
      <c r="G19" s="50"/>
      <c r="H19" s="50"/>
      <c r="I19" s="50"/>
      <c r="J19" s="50"/>
      <c r="K19" s="50"/>
      <c r="L19" s="50"/>
      <c r="M19" s="50"/>
    </row>
    <row r="20" spans="1:13" x14ac:dyDescent="0.3">
      <c r="A20" s="28" t="s">
        <v>86</v>
      </c>
      <c r="B20" s="56">
        <v>7.0326796042000002</v>
      </c>
      <c r="C20" s="56">
        <v>-1.4445738653</v>
      </c>
      <c r="D20" s="56">
        <v>-5.2325392252</v>
      </c>
      <c r="E20" s="50"/>
      <c r="F20" s="50"/>
      <c r="G20" s="50"/>
      <c r="H20" s="50"/>
      <c r="I20" s="50"/>
      <c r="J20" s="50"/>
      <c r="K20" s="50"/>
      <c r="L20" s="50"/>
      <c r="M20" s="50"/>
    </row>
    <row r="21" spans="1:13" x14ac:dyDescent="0.3">
      <c r="A21" s="28" t="s">
        <v>87</v>
      </c>
      <c r="B21" s="56">
        <v>0.23494930999999999</v>
      </c>
      <c r="C21" s="56">
        <v>0.96619959300000002</v>
      </c>
      <c r="D21" s="56">
        <v>-0.99601627429999995</v>
      </c>
      <c r="E21" s="50"/>
      <c r="F21" s="50"/>
      <c r="G21" s="50"/>
      <c r="H21" s="50"/>
      <c r="I21" s="50"/>
      <c r="J21" s="50"/>
      <c r="K21" s="50"/>
      <c r="L21" s="50"/>
      <c r="M21" s="50"/>
    </row>
    <row r="22" spans="1:13" x14ac:dyDescent="0.3">
      <c r="A22" s="28" t="s">
        <v>88</v>
      </c>
      <c r="B22" s="56">
        <v>1.0930357275</v>
      </c>
      <c r="C22" s="56">
        <v>-0.29272572229999999</v>
      </c>
      <c r="D22" s="56">
        <v>-0.68301379210000002</v>
      </c>
      <c r="E22" s="50"/>
      <c r="F22" s="50"/>
      <c r="G22" s="50"/>
      <c r="H22" s="50"/>
      <c r="I22" s="50"/>
      <c r="J22" s="50"/>
      <c r="K22" s="50"/>
      <c r="L22" s="50"/>
      <c r="M22" s="50"/>
    </row>
    <row r="23" spans="1:13" x14ac:dyDescent="0.3">
      <c r="A23" s="28" t="s">
        <v>89</v>
      </c>
      <c r="B23" s="56">
        <v>8.8416362211999999</v>
      </c>
      <c r="C23" s="56">
        <v>-4.2617009738</v>
      </c>
      <c r="D23" s="56">
        <v>-1.8785125926999999</v>
      </c>
      <c r="E23" s="50"/>
      <c r="F23" s="50"/>
      <c r="G23" s="50"/>
      <c r="H23" s="50"/>
      <c r="I23" s="50"/>
      <c r="J23" s="50"/>
      <c r="K23" s="50"/>
      <c r="L23" s="50"/>
      <c r="M23" s="50"/>
    </row>
    <row r="24" spans="1:13" x14ac:dyDescent="0.3">
      <c r="A24" s="28" t="s">
        <v>90</v>
      </c>
      <c r="B24" s="56">
        <v>-2.2583423604999999</v>
      </c>
      <c r="C24" s="56">
        <v>2.1321774585000002</v>
      </c>
      <c r="D24" s="56">
        <v>-0.32487344870000001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x14ac:dyDescent="0.3">
      <c r="A25" s="28" t="s">
        <v>91</v>
      </c>
      <c r="B25" s="56">
        <v>-4.7144324394000003</v>
      </c>
      <c r="C25" s="56">
        <v>2.3749082519</v>
      </c>
      <c r="D25" s="56">
        <v>0.77142798680000002</v>
      </c>
      <c r="E25" s="50"/>
      <c r="F25" s="50"/>
      <c r="G25" s="50"/>
      <c r="H25" s="50"/>
      <c r="I25" s="50"/>
      <c r="J25" s="50"/>
      <c r="K25" s="50"/>
      <c r="L25" s="50"/>
      <c r="M25" s="50"/>
    </row>
    <row r="26" spans="1:13" x14ac:dyDescent="0.3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</row>
    <row r="27" spans="1:13" x14ac:dyDescent="0.3"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spans="1:13" x14ac:dyDescent="0.3"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</row>
    <row r="29" spans="1:13" x14ac:dyDescent="0.3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3" x14ac:dyDescent="0.3"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</row>
    <row r="31" spans="1:13" x14ac:dyDescent="0.3"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</row>
    <row r="32" spans="1:13" x14ac:dyDescent="0.3"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</row>
    <row r="33" spans="1:13" x14ac:dyDescent="0.3"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13" x14ac:dyDescent="0.3"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7" spans="1:13" s="49" customFormat="1" ht="42.75" customHeigh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</row>
  </sheetData>
  <conditionalFormatting sqref="B10:M3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{5FC82E3E-5B89-4873-B23C-18524007BF0B}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FC82E3E-5B89-4873-B23C-18524007B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B10:M34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8679-8FD1-4DC7-9B10-94B64363DE3F}">
  <sheetPr codeName="Sheet13"/>
  <dimension ref="A1:B11"/>
  <sheetViews>
    <sheetView tabSelected="1" zoomScale="60" zoomScaleNormal="60" workbookViewId="0"/>
  </sheetViews>
  <sheetFormatPr defaultColWidth="10.36328125" defaultRowHeight="13.5" x14ac:dyDescent="0.3"/>
  <cols>
    <col min="1" max="1" width="65.90625" style="28" bestFit="1" customWidth="1"/>
    <col min="2" max="2" width="10.36328125" style="49"/>
    <col min="3" max="16384" width="10.36328125" style="28"/>
  </cols>
  <sheetData>
    <row r="1" spans="1:1" x14ac:dyDescent="0.3">
      <c r="A1" s="26" t="s">
        <v>101</v>
      </c>
    </row>
    <row r="2" spans="1:1" x14ac:dyDescent="0.3">
      <c r="A2" s="26" t="s">
        <v>71</v>
      </c>
    </row>
    <row r="3" spans="1:1" x14ac:dyDescent="0.3">
      <c r="A3" s="26" t="s">
        <v>100</v>
      </c>
    </row>
    <row r="4" spans="1:1" x14ac:dyDescent="0.3">
      <c r="A4" s="26" t="s">
        <v>92</v>
      </c>
    </row>
    <row r="5" spans="1:1" x14ac:dyDescent="0.3">
      <c r="A5" s="26" t="s">
        <v>0</v>
      </c>
    </row>
    <row r="6" spans="1:1" x14ac:dyDescent="0.3">
      <c r="A6" s="26" t="s">
        <v>75</v>
      </c>
    </row>
    <row r="11" spans="1:1" x14ac:dyDescent="0.3">
      <c r="A11" s="28" t="s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31A62-8530-4A19-86AE-FB605943D31D}">
  <dimension ref="A1"/>
  <sheetViews>
    <sheetView workbookViewId="0">
      <selection activeCell="C9" sqref="C9"/>
    </sheetView>
  </sheetViews>
  <sheetFormatPr defaultRowHeight="14.5" x14ac:dyDescent="0.35"/>
  <sheetData>
    <row r="1" spans="1:1" x14ac:dyDescent="0.35">
      <c r="A1" t="s"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0E585-93AC-4952-83FE-84736C9F9B7D}">
  <sheetPr codeName="Sheet3"/>
  <dimension ref="B4:L9"/>
  <sheetViews>
    <sheetView workbookViewId="0">
      <selection activeCell="B4" sqref="B4:G9"/>
    </sheetView>
  </sheetViews>
  <sheetFormatPr defaultRowHeight="14.5" x14ac:dyDescent="0.35"/>
  <sheetData>
    <row r="4" spans="2:12" x14ac:dyDescent="0.35">
      <c r="C4" t="s">
        <v>8</v>
      </c>
      <c r="D4" t="s">
        <v>9</v>
      </c>
      <c r="E4" t="s">
        <v>10</v>
      </c>
      <c r="F4" t="s">
        <v>11</v>
      </c>
      <c r="G4" t="s">
        <v>12</v>
      </c>
    </row>
    <row r="5" spans="2:12" x14ac:dyDescent="0.35">
      <c r="B5" s="4" t="s">
        <v>8</v>
      </c>
      <c r="C5">
        <v>1</v>
      </c>
      <c r="D5">
        <v>0.6</v>
      </c>
      <c r="E5">
        <v>0.40899999999999997</v>
      </c>
      <c r="F5">
        <v>0.93899999999999995</v>
      </c>
      <c r="G5">
        <v>0.77500000000000002</v>
      </c>
      <c r="K5" s="1" t="s">
        <v>13</v>
      </c>
      <c r="L5" s="4" t="s">
        <v>9</v>
      </c>
    </row>
    <row r="6" spans="2:12" x14ac:dyDescent="0.35">
      <c r="B6" s="4" t="s">
        <v>9</v>
      </c>
      <c r="C6">
        <v>0.67600000000000005</v>
      </c>
      <c r="D6">
        <v>1</v>
      </c>
      <c r="E6">
        <v>0.81399999999999995</v>
      </c>
      <c r="F6">
        <v>0.79700000000000004</v>
      </c>
      <c r="G6">
        <v>0.82899999999999996</v>
      </c>
      <c r="K6" s="1" t="s">
        <v>14</v>
      </c>
      <c r="L6" s="4" t="s">
        <v>10</v>
      </c>
    </row>
    <row r="7" spans="2:12" x14ac:dyDescent="0.35">
      <c r="B7" s="4" t="s">
        <v>10</v>
      </c>
      <c r="C7">
        <v>0.875</v>
      </c>
      <c r="D7">
        <v>0.70899999999999996</v>
      </c>
      <c r="E7">
        <v>1</v>
      </c>
      <c r="F7">
        <v>0.375</v>
      </c>
      <c r="G7">
        <v>0.82099999999999995</v>
      </c>
      <c r="K7" s="1" t="s">
        <v>15</v>
      </c>
      <c r="L7" s="4" t="s">
        <v>11</v>
      </c>
    </row>
    <row r="8" spans="2:12" x14ac:dyDescent="0.35">
      <c r="B8" s="4" t="s">
        <v>11</v>
      </c>
      <c r="C8">
        <v>0.78100000000000003</v>
      </c>
      <c r="D8">
        <v>0.628</v>
      </c>
      <c r="E8">
        <v>0.88300000000000001</v>
      </c>
      <c r="F8">
        <v>1</v>
      </c>
      <c r="G8">
        <v>0.4</v>
      </c>
      <c r="K8" s="1" t="s">
        <v>16</v>
      </c>
      <c r="L8" s="4" t="s">
        <v>8</v>
      </c>
    </row>
    <row r="9" spans="2:12" x14ac:dyDescent="0.35">
      <c r="B9" s="4" t="s">
        <v>12</v>
      </c>
      <c r="C9">
        <v>0.64300000000000002</v>
      </c>
      <c r="D9">
        <v>0.52600000000000002</v>
      </c>
      <c r="E9">
        <v>0.34799999999999998</v>
      </c>
      <c r="F9">
        <v>0.49199999999999999</v>
      </c>
      <c r="G9">
        <v>1</v>
      </c>
      <c r="K9" s="1" t="s">
        <v>17</v>
      </c>
      <c r="L9" s="4" t="s"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5DE04-43D8-40A4-9161-BAE0BDE5D7AB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BC3D9-2DA5-4609-8398-CE89D4EADB39}">
  <dimension ref="A1:X50"/>
  <sheetViews>
    <sheetView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D48" sqref="D48"/>
    </sheetView>
  </sheetViews>
  <sheetFormatPr defaultRowHeight="14.5" x14ac:dyDescent="0.35"/>
  <cols>
    <col min="1" max="1" width="30.54296875" bestFit="1" customWidth="1"/>
  </cols>
  <sheetData>
    <row r="1" spans="1:24" ht="58" x14ac:dyDescent="0.35">
      <c r="A1" s="25" t="s">
        <v>20</v>
      </c>
      <c r="B1" s="20" t="s">
        <v>21</v>
      </c>
      <c r="C1" s="20" t="s">
        <v>22</v>
      </c>
      <c r="D1" s="20" t="s">
        <v>23</v>
      </c>
      <c r="E1" s="21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0" t="s">
        <v>29</v>
      </c>
      <c r="K1" s="20" t="s">
        <v>30</v>
      </c>
      <c r="L1" s="20" t="s">
        <v>31</v>
      </c>
      <c r="M1" s="20" t="s">
        <v>32</v>
      </c>
      <c r="N1" s="20" t="s">
        <v>33</v>
      </c>
      <c r="O1" s="20" t="s">
        <v>34</v>
      </c>
      <c r="P1" s="11" t="s">
        <v>35</v>
      </c>
      <c r="Q1" s="20" t="s">
        <v>36</v>
      </c>
      <c r="R1" s="20" t="s">
        <v>37</v>
      </c>
      <c r="S1" s="20" t="s">
        <v>38</v>
      </c>
      <c r="T1" s="20" t="s">
        <v>39</v>
      </c>
      <c r="U1" s="20" t="s">
        <v>40</v>
      </c>
      <c r="V1" s="20" t="s">
        <v>41</v>
      </c>
      <c r="W1" s="11" t="s">
        <v>42</v>
      </c>
      <c r="X1" s="20" t="s">
        <v>43</v>
      </c>
    </row>
    <row r="2" spans="1:24" x14ac:dyDescent="0.35">
      <c r="A2" s="2" t="s">
        <v>33</v>
      </c>
      <c r="B2" s="3" t="s">
        <v>18</v>
      </c>
      <c r="C2" s="3" t="s">
        <v>18</v>
      </c>
      <c r="D2" s="3" t="s">
        <v>18</v>
      </c>
      <c r="E2" s="3" t="s">
        <v>18</v>
      </c>
      <c r="F2" s="3" t="s">
        <v>18</v>
      </c>
      <c r="G2" s="3" t="s">
        <v>18</v>
      </c>
      <c r="H2" s="3" t="s">
        <v>18</v>
      </c>
      <c r="I2" s="3" t="s">
        <v>18</v>
      </c>
      <c r="J2" s="3" t="s">
        <v>18</v>
      </c>
      <c r="K2" s="3" t="s">
        <v>18</v>
      </c>
      <c r="L2" s="3" t="s">
        <v>18</v>
      </c>
      <c r="M2" s="3" t="s">
        <v>18</v>
      </c>
      <c r="N2" s="13"/>
      <c r="O2" s="12" t="s">
        <v>18</v>
      </c>
      <c r="P2" s="3" t="s">
        <v>18</v>
      </c>
      <c r="Q2" s="3" t="s">
        <v>18</v>
      </c>
      <c r="R2" s="3" t="s">
        <v>18</v>
      </c>
      <c r="S2" s="3" t="s">
        <v>18</v>
      </c>
      <c r="T2" s="3" t="s">
        <v>18</v>
      </c>
      <c r="U2" s="3" t="s">
        <v>18</v>
      </c>
      <c r="V2" s="3" t="s">
        <v>18</v>
      </c>
      <c r="W2" s="3" t="s">
        <v>18</v>
      </c>
      <c r="X2" s="3" t="s">
        <v>18</v>
      </c>
    </row>
    <row r="3" spans="1:24" x14ac:dyDescent="0.35">
      <c r="A3" s="2" t="s">
        <v>34</v>
      </c>
      <c r="B3" s="3" t="s">
        <v>18</v>
      </c>
      <c r="C3" s="3" t="s">
        <v>18</v>
      </c>
      <c r="D3" s="3" t="s">
        <v>18</v>
      </c>
      <c r="E3" s="3" t="s">
        <v>18</v>
      </c>
      <c r="F3" s="3" t="s">
        <v>18</v>
      </c>
      <c r="G3" s="3" t="s">
        <v>18</v>
      </c>
      <c r="H3" s="3" t="s">
        <v>18</v>
      </c>
      <c r="I3" s="3" t="s">
        <v>18</v>
      </c>
      <c r="J3" s="12" t="s">
        <v>18</v>
      </c>
      <c r="K3" s="3" t="s">
        <v>18</v>
      </c>
      <c r="L3" s="3" t="s">
        <v>18</v>
      </c>
      <c r="M3" s="3" t="s">
        <v>18</v>
      </c>
      <c r="N3" s="12" t="s">
        <v>19</v>
      </c>
      <c r="O3" s="13"/>
      <c r="P3" s="3" t="s">
        <v>18</v>
      </c>
      <c r="Q3" s="3" t="s">
        <v>18</v>
      </c>
      <c r="R3" s="3" t="s">
        <v>18</v>
      </c>
      <c r="S3" s="3" t="s">
        <v>18</v>
      </c>
      <c r="T3" s="3" t="s">
        <v>18</v>
      </c>
      <c r="U3" s="3" t="s">
        <v>18</v>
      </c>
      <c r="V3" s="3" t="s">
        <v>18</v>
      </c>
      <c r="W3" s="3" t="s">
        <v>18</v>
      </c>
      <c r="X3" s="3" t="s">
        <v>18</v>
      </c>
    </row>
    <row r="4" spans="1:24" x14ac:dyDescent="0.35">
      <c r="A4" s="2" t="s">
        <v>29</v>
      </c>
      <c r="B4" s="3" t="s">
        <v>18</v>
      </c>
      <c r="C4" s="3" t="s">
        <v>18</v>
      </c>
      <c r="D4" s="3" t="s">
        <v>18</v>
      </c>
      <c r="E4" s="3" t="s">
        <v>18</v>
      </c>
      <c r="F4" s="3" t="s">
        <v>18</v>
      </c>
      <c r="G4" s="3" t="s">
        <v>18</v>
      </c>
      <c r="H4" s="3" t="s">
        <v>18</v>
      </c>
      <c r="I4" s="3" t="s">
        <v>18</v>
      </c>
      <c r="J4" s="13"/>
      <c r="K4" s="3" t="s">
        <v>18</v>
      </c>
      <c r="L4" s="3" t="s">
        <v>18</v>
      </c>
      <c r="M4" s="3" t="s">
        <v>18</v>
      </c>
      <c r="N4" s="12" t="s">
        <v>19</v>
      </c>
      <c r="O4" s="12" t="s">
        <v>19</v>
      </c>
      <c r="P4" s="3" t="s">
        <v>18</v>
      </c>
      <c r="Q4" s="3" t="s">
        <v>18</v>
      </c>
      <c r="R4" s="3" t="s">
        <v>18</v>
      </c>
      <c r="S4" s="3" t="s">
        <v>18</v>
      </c>
      <c r="T4" s="3" t="s">
        <v>18</v>
      </c>
      <c r="U4" s="3" t="s">
        <v>18</v>
      </c>
      <c r="V4" s="3" t="s">
        <v>18</v>
      </c>
      <c r="W4" s="3" t="s">
        <v>18</v>
      </c>
      <c r="X4" s="3" t="s">
        <v>18</v>
      </c>
    </row>
    <row r="5" spans="1:24" x14ac:dyDescent="0.35">
      <c r="A5" s="2" t="s">
        <v>30</v>
      </c>
      <c r="B5" s="3" t="s">
        <v>18</v>
      </c>
      <c r="C5" s="3" t="s">
        <v>18</v>
      </c>
      <c r="D5" s="3" t="s">
        <v>18</v>
      </c>
      <c r="E5" s="3" t="s">
        <v>18</v>
      </c>
      <c r="F5" s="3" t="s">
        <v>18</v>
      </c>
      <c r="G5" s="3" t="s">
        <v>18</v>
      </c>
      <c r="H5" s="3" t="s">
        <v>18</v>
      </c>
      <c r="I5" s="3" t="s">
        <v>18</v>
      </c>
      <c r="J5" s="12" t="s">
        <v>19</v>
      </c>
      <c r="K5" s="9"/>
      <c r="L5" s="3" t="s">
        <v>18</v>
      </c>
      <c r="M5" s="3" t="s">
        <v>18</v>
      </c>
      <c r="N5" s="12" t="s">
        <v>19</v>
      </c>
      <c r="O5" s="12" t="s">
        <v>19</v>
      </c>
      <c r="P5" s="3" t="s">
        <v>18</v>
      </c>
      <c r="Q5" s="3" t="s">
        <v>18</v>
      </c>
      <c r="R5" s="3" t="s">
        <v>18</v>
      </c>
      <c r="S5" s="3" t="s">
        <v>18</v>
      </c>
      <c r="T5" s="3" t="s">
        <v>18</v>
      </c>
      <c r="U5" s="3" t="s">
        <v>18</v>
      </c>
      <c r="V5" s="3" t="s">
        <v>18</v>
      </c>
      <c r="W5" s="3" t="s">
        <v>18</v>
      </c>
      <c r="X5" s="3" t="s">
        <v>18</v>
      </c>
    </row>
    <row r="6" spans="1:24" x14ac:dyDescent="0.35">
      <c r="A6" s="2" t="s">
        <v>40</v>
      </c>
      <c r="B6" s="3" t="s">
        <v>18</v>
      </c>
      <c r="C6" s="3" t="s">
        <v>18</v>
      </c>
      <c r="D6" s="3" t="s">
        <v>18</v>
      </c>
      <c r="E6" s="3" t="s">
        <v>18</v>
      </c>
      <c r="F6" s="3" t="s">
        <v>18</v>
      </c>
      <c r="G6" s="3" t="s">
        <v>18</v>
      </c>
      <c r="H6" s="3" t="s">
        <v>18</v>
      </c>
      <c r="I6" s="3" t="s">
        <v>18</v>
      </c>
      <c r="J6" s="12" t="s">
        <v>19</v>
      </c>
      <c r="K6" s="3" t="s">
        <v>19</v>
      </c>
      <c r="L6" s="3" t="s">
        <v>18</v>
      </c>
      <c r="M6" s="3" t="s">
        <v>18</v>
      </c>
      <c r="N6" s="12" t="s">
        <v>19</v>
      </c>
      <c r="O6" s="12" t="s">
        <v>19</v>
      </c>
      <c r="P6" s="3" t="s">
        <v>18</v>
      </c>
      <c r="Q6" s="3" t="s">
        <v>18</v>
      </c>
      <c r="R6" s="3" t="s">
        <v>18</v>
      </c>
      <c r="S6" s="3" t="s">
        <v>18</v>
      </c>
      <c r="T6" s="3" t="s">
        <v>18</v>
      </c>
      <c r="U6" s="9"/>
      <c r="V6" s="3" t="s">
        <v>18</v>
      </c>
      <c r="W6" s="3" t="s">
        <v>18</v>
      </c>
      <c r="X6" s="3" t="s">
        <v>18</v>
      </c>
    </row>
    <row r="7" spans="1:24" x14ac:dyDescent="0.35">
      <c r="A7" s="2" t="s">
        <v>41</v>
      </c>
      <c r="B7" s="3" t="s">
        <v>18</v>
      </c>
      <c r="C7" s="3" t="s">
        <v>18</v>
      </c>
      <c r="D7" s="3" t="s">
        <v>18</v>
      </c>
      <c r="E7" s="3" t="s">
        <v>18</v>
      </c>
      <c r="F7" s="3" t="s">
        <v>18</v>
      </c>
      <c r="G7" s="3" t="s">
        <v>18</v>
      </c>
      <c r="H7" s="3" t="s">
        <v>18</v>
      </c>
      <c r="I7" s="3" t="s">
        <v>18</v>
      </c>
      <c r="J7" s="12" t="s">
        <v>19</v>
      </c>
      <c r="K7" s="3" t="s">
        <v>19</v>
      </c>
      <c r="L7" s="3" t="s">
        <v>18</v>
      </c>
      <c r="M7" s="3" t="s">
        <v>18</v>
      </c>
      <c r="N7" s="12" t="s">
        <v>19</v>
      </c>
      <c r="O7" s="12" t="s">
        <v>19</v>
      </c>
      <c r="P7" s="3" t="s">
        <v>18</v>
      </c>
      <c r="Q7" s="3" t="s">
        <v>18</v>
      </c>
      <c r="R7" s="3" t="s">
        <v>18</v>
      </c>
      <c r="S7" s="3" t="s">
        <v>18</v>
      </c>
      <c r="T7" s="3" t="s">
        <v>18</v>
      </c>
      <c r="U7" s="3" t="s">
        <v>19</v>
      </c>
      <c r="V7" s="9"/>
      <c r="W7" s="3" t="s">
        <v>18</v>
      </c>
      <c r="X7" s="3" t="s">
        <v>18</v>
      </c>
    </row>
    <row r="8" spans="1:24" x14ac:dyDescent="0.35">
      <c r="A8" s="7" t="s">
        <v>31</v>
      </c>
      <c r="B8" s="3" t="s">
        <v>18</v>
      </c>
      <c r="C8" s="3" t="s">
        <v>18</v>
      </c>
      <c r="D8" s="3" t="s">
        <v>18</v>
      </c>
      <c r="E8" s="3" t="s">
        <v>18</v>
      </c>
      <c r="F8" s="3" t="s">
        <v>18</v>
      </c>
      <c r="G8" s="3" t="s">
        <v>18</v>
      </c>
      <c r="H8" s="3" t="s">
        <v>18</v>
      </c>
      <c r="I8" s="3" t="s">
        <v>18</v>
      </c>
      <c r="J8" s="12" t="s">
        <v>19</v>
      </c>
      <c r="K8" s="3" t="s">
        <v>19</v>
      </c>
      <c r="L8" s="9"/>
      <c r="M8" s="3" t="s">
        <v>18</v>
      </c>
      <c r="N8" s="12" t="s">
        <v>19</v>
      </c>
      <c r="O8" s="12" t="s">
        <v>19</v>
      </c>
      <c r="P8" s="3" t="s">
        <v>18</v>
      </c>
      <c r="Q8" s="3" t="s">
        <v>18</v>
      </c>
      <c r="R8" s="3" t="s">
        <v>18</v>
      </c>
      <c r="S8" s="3" t="s">
        <v>18</v>
      </c>
      <c r="T8" s="3" t="s">
        <v>18</v>
      </c>
      <c r="U8" s="3" t="s">
        <v>19</v>
      </c>
      <c r="V8" s="3" t="s">
        <v>19</v>
      </c>
      <c r="W8" s="3" t="s">
        <v>18</v>
      </c>
      <c r="X8" s="3" t="s">
        <v>18</v>
      </c>
    </row>
    <row r="9" spans="1:24" x14ac:dyDescent="0.35">
      <c r="A9" s="5" t="s">
        <v>28</v>
      </c>
      <c r="B9" s="3" t="s">
        <v>18</v>
      </c>
      <c r="C9" s="3" t="s">
        <v>18</v>
      </c>
      <c r="D9" s="3" t="s">
        <v>18</v>
      </c>
      <c r="E9" s="3" t="s">
        <v>18</v>
      </c>
      <c r="F9" s="3" t="s">
        <v>18</v>
      </c>
      <c r="G9" s="3" t="s">
        <v>18</v>
      </c>
      <c r="H9" s="3" t="s">
        <v>18</v>
      </c>
      <c r="I9" s="9"/>
      <c r="J9" s="12" t="s">
        <v>19</v>
      </c>
      <c r="K9" s="3" t="s">
        <v>19</v>
      </c>
      <c r="L9" s="3" t="s">
        <v>19</v>
      </c>
      <c r="M9" s="3" t="s">
        <v>18</v>
      </c>
      <c r="N9" s="12" t="s">
        <v>19</v>
      </c>
      <c r="O9" s="12" t="s">
        <v>19</v>
      </c>
      <c r="P9" s="3" t="s">
        <v>18</v>
      </c>
      <c r="Q9" s="3" t="s">
        <v>18</v>
      </c>
      <c r="R9" s="3" t="s">
        <v>18</v>
      </c>
      <c r="S9" s="3" t="s">
        <v>18</v>
      </c>
      <c r="T9" s="3" t="s">
        <v>18</v>
      </c>
      <c r="U9" s="3" t="s">
        <v>19</v>
      </c>
      <c r="V9" s="3" t="s">
        <v>19</v>
      </c>
      <c r="W9" s="3" t="s">
        <v>18</v>
      </c>
      <c r="X9" s="3" t="s">
        <v>18</v>
      </c>
    </row>
    <row r="10" spans="1:24" x14ac:dyDescent="0.35">
      <c r="A10" s="5" t="s">
        <v>39</v>
      </c>
      <c r="B10" s="3" t="s">
        <v>18</v>
      </c>
      <c r="C10" s="3" t="s">
        <v>18</v>
      </c>
      <c r="D10" s="3" t="s">
        <v>18</v>
      </c>
      <c r="E10" s="3" t="s">
        <v>18</v>
      </c>
      <c r="F10" s="3" t="s">
        <v>18</v>
      </c>
      <c r="G10" s="3" t="s">
        <v>18</v>
      </c>
      <c r="H10" s="3" t="s">
        <v>18</v>
      </c>
      <c r="I10" s="3" t="s">
        <v>19</v>
      </c>
      <c r="J10" s="12" t="s">
        <v>18</v>
      </c>
      <c r="K10" s="3" t="s">
        <v>19</v>
      </c>
      <c r="L10" s="3" t="s">
        <v>19</v>
      </c>
      <c r="M10" s="3" t="s">
        <v>18</v>
      </c>
      <c r="N10" s="12" t="s">
        <v>19</v>
      </c>
      <c r="O10" s="12" t="s">
        <v>19</v>
      </c>
      <c r="P10" s="3" t="s">
        <v>18</v>
      </c>
      <c r="Q10" s="3" t="s">
        <v>18</v>
      </c>
      <c r="R10" s="3" t="s">
        <v>18</v>
      </c>
      <c r="S10" s="3" t="s">
        <v>18</v>
      </c>
      <c r="T10" s="9"/>
      <c r="U10" s="3" t="s">
        <v>19</v>
      </c>
      <c r="V10" s="3" t="s">
        <v>19</v>
      </c>
      <c r="W10" s="3" t="s">
        <v>18</v>
      </c>
      <c r="X10" s="3" t="s">
        <v>18</v>
      </c>
    </row>
    <row r="11" spans="1:24" x14ac:dyDescent="0.35">
      <c r="A11" s="5" t="s">
        <v>36</v>
      </c>
      <c r="B11" s="3" t="s">
        <v>18</v>
      </c>
      <c r="C11" s="3" t="s">
        <v>18</v>
      </c>
      <c r="D11" s="3" t="s">
        <v>18</v>
      </c>
      <c r="E11" s="3" t="s">
        <v>18</v>
      </c>
      <c r="F11" s="3" t="s">
        <v>18</v>
      </c>
      <c r="G11" s="3" t="s">
        <v>18</v>
      </c>
      <c r="H11" s="3" t="s">
        <v>18</v>
      </c>
      <c r="I11" s="3" t="s">
        <v>19</v>
      </c>
      <c r="J11" s="12" t="s">
        <v>18</v>
      </c>
      <c r="K11" s="3" t="s">
        <v>19</v>
      </c>
      <c r="L11" s="3" t="s">
        <v>19</v>
      </c>
      <c r="M11" s="3" t="s">
        <v>18</v>
      </c>
      <c r="N11" s="12" t="s">
        <v>19</v>
      </c>
      <c r="O11" s="12" t="s">
        <v>19</v>
      </c>
      <c r="P11" s="3" t="s">
        <v>18</v>
      </c>
      <c r="Q11" s="9"/>
      <c r="R11" s="3" t="s">
        <v>18</v>
      </c>
      <c r="S11" s="3" t="s">
        <v>18</v>
      </c>
      <c r="T11" s="3" t="s">
        <v>19</v>
      </c>
      <c r="U11" s="3" t="s">
        <v>19</v>
      </c>
      <c r="V11" s="3" t="s">
        <v>19</v>
      </c>
      <c r="W11" s="3" t="s">
        <v>18</v>
      </c>
      <c r="X11" s="3" t="s">
        <v>18</v>
      </c>
    </row>
    <row r="12" spans="1:24" x14ac:dyDescent="0.35">
      <c r="A12" s="5" t="s">
        <v>23</v>
      </c>
      <c r="B12" s="3" t="s">
        <v>18</v>
      </c>
      <c r="C12" s="3" t="s">
        <v>18</v>
      </c>
      <c r="D12" s="9"/>
      <c r="E12" s="3" t="s">
        <v>18</v>
      </c>
      <c r="F12" s="3" t="s">
        <v>18</v>
      </c>
      <c r="G12" s="3" t="s">
        <v>18</v>
      </c>
      <c r="H12" s="3" t="s">
        <v>18</v>
      </c>
      <c r="I12" s="3" t="s">
        <v>19</v>
      </c>
      <c r="J12" s="12" t="s">
        <v>19</v>
      </c>
      <c r="K12" s="3" t="s">
        <v>19</v>
      </c>
      <c r="L12" s="3" t="s">
        <v>19</v>
      </c>
      <c r="M12" s="3" t="s">
        <v>18</v>
      </c>
      <c r="N12" s="12" t="s">
        <v>19</v>
      </c>
      <c r="O12" s="12" t="s">
        <v>19</v>
      </c>
      <c r="P12" s="3" t="s">
        <v>18</v>
      </c>
      <c r="Q12" s="3" t="s">
        <v>19</v>
      </c>
      <c r="R12" s="3" t="s">
        <v>18</v>
      </c>
      <c r="S12" s="3" t="s">
        <v>18</v>
      </c>
      <c r="T12" s="3" t="s">
        <v>18</v>
      </c>
      <c r="U12" s="3" t="s">
        <v>19</v>
      </c>
      <c r="V12" s="3" t="s">
        <v>19</v>
      </c>
      <c r="W12" s="3" t="s">
        <v>18</v>
      </c>
      <c r="X12" s="3" t="s">
        <v>18</v>
      </c>
    </row>
    <row r="13" spans="1:24" x14ac:dyDescent="0.35">
      <c r="A13" s="5" t="s">
        <v>38</v>
      </c>
      <c r="B13" s="3" t="s">
        <v>18</v>
      </c>
      <c r="C13" s="3" t="s">
        <v>18</v>
      </c>
      <c r="D13" s="3" t="s">
        <v>19</v>
      </c>
      <c r="E13" s="3" t="s">
        <v>18</v>
      </c>
      <c r="F13" s="3" t="s">
        <v>18</v>
      </c>
      <c r="G13" s="3" t="s">
        <v>18</v>
      </c>
      <c r="H13" s="3" t="s">
        <v>18</v>
      </c>
      <c r="I13" s="3" t="s">
        <v>19</v>
      </c>
      <c r="J13" s="12" t="s">
        <v>18</v>
      </c>
      <c r="K13" s="3" t="s">
        <v>19</v>
      </c>
      <c r="L13" s="3" t="s">
        <v>19</v>
      </c>
      <c r="M13" s="3" t="s">
        <v>18</v>
      </c>
      <c r="N13" s="12" t="s">
        <v>19</v>
      </c>
      <c r="O13" s="12" t="s">
        <v>19</v>
      </c>
      <c r="P13" s="3" t="s">
        <v>18</v>
      </c>
      <c r="Q13" s="3" t="s">
        <v>19</v>
      </c>
      <c r="R13" s="3" t="s">
        <v>18</v>
      </c>
      <c r="S13" s="9"/>
      <c r="T13" s="3" t="s">
        <v>18</v>
      </c>
      <c r="U13" s="3" t="s">
        <v>19</v>
      </c>
      <c r="V13" s="3" t="s">
        <v>19</v>
      </c>
      <c r="W13" s="3" t="s">
        <v>18</v>
      </c>
      <c r="X13" s="3" t="s">
        <v>18</v>
      </c>
    </row>
    <row r="14" spans="1:24" x14ac:dyDescent="0.35">
      <c r="A14" s="5" t="s">
        <v>21</v>
      </c>
      <c r="B14" s="9"/>
      <c r="C14" s="3" t="s">
        <v>18</v>
      </c>
      <c r="D14" s="3">
        <v>0</v>
      </c>
      <c r="E14" s="3" t="s">
        <v>18</v>
      </c>
      <c r="F14" s="3" t="s">
        <v>18</v>
      </c>
      <c r="G14" s="3" t="s">
        <v>18</v>
      </c>
      <c r="H14" s="3" t="s">
        <v>18</v>
      </c>
      <c r="I14" s="3">
        <v>0</v>
      </c>
      <c r="J14" s="12">
        <v>0</v>
      </c>
      <c r="K14" s="3">
        <v>0</v>
      </c>
      <c r="L14" s="3">
        <v>0</v>
      </c>
      <c r="M14" s="3" t="s">
        <v>18</v>
      </c>
      <c r="N14" s="12">
        <v>0</v>
      </c>
      <c r="O14" s="12">
        <v>0</v>
      </c>
      <c r="P14" s="3" t="s">
        <v>18</v>
      </c>
      <c r="Q14" s="3">
        <v>0</v>
      </c>
      <c r="R14" s="3" t="s">
        <v>18</v>
      </c>
      <c r="S14" s="3">
        <v>0</v>
      </c>
      <c r="T14" s="3">
        <v>0</v>
      </c>
      <c r="U14" s="3">
        <v>0</v>
      </c>
      <c r="V14" s="3">
        <v>0</v>
      </c>
      <c r="W14" s="3" t="s">
        <v>18</v>
      </c>
      <c r="X14" s="3" t="s">
        <v>18</v>
      </c>
    </row>
    <row r="15" spans="1:24" x14ac:dyDescent="0.35">
      <c r="A15" s="5" t="s">
        <v>43</v>
      </c>
      <c r="B15" s="3">
        <v>0</v>
      </c>
      <c r="C15" s="3" t="s">
        <v>18</v>
      </c>
      <c r="D15" s="3" t="s">
        <v>19</v>
      </c>
      <c r="E15" s="3" t="s">
        <v>18</v>
      </c>
      <c r="F15" s="3" t="s">
        <v>18</v>
      </c>
      <c r="G15" s="3" t="s">
        <v>18</v>
      </c>
      <c r="H15" s="3" t="s">
        <v>18</v>
      </c>
      <c r="I15" s="3" t="s">
        <v>19</v>
      </c>
      <c r="J15" s="12" t="s">
        <v>18</v>
      </c>
      <c r="K15" s="3" t="s">
        <v>19</v>
      </c>
      <c r="L15" s="3" t="s">
        <v>19</v>
      </c>
      <c r="M15" s="3" t="s">
        <v>18</v>
      </c>
      <c r="N15" s="12" t="s">
        <v>19</v>
      </c>
      <c r="O15" s="12" t="s">
        <v>19</v>
      </c>
      <c r="P15" s="3" t="s">
        <v>18</v>
      </c>
      <c r="Q15" s="3" t="s">
        <v>19</v>
      </c>
      <c r="R15" s="3" t="s">
        <v>18</v>
      </c>
      <c r="S15" s="3" t="s">
        <v>19</v>
      </c>
      <c r="T15" s="3" t="s">
        <v>18</v>
      </c>
      <c r="U15" s="3" t="s">
        <v>19</v>
      </c>
      <c r="V15" s="3" t="s">
        <v>19</v>
      </c>
      <c r="W15" s="3" t="s">
        <v>18</v>
      </c>
      <c r="X15" s="9"/>
    </row>
    <row r="16" spans="1:24" x14ac:dyDescent="0.35">
      <c r="A16" s="7" t="s">
        <v>37</v>
      </c>
      <c r="B16" s="3">
        <v>0</v>
      </c>
      <c r="C16" s="3" t="s">
        <v>18</v>
      </c>
      <c r="D16" s="3" t="s">
        <v>18</v>
      </c>
      <c r="E16" s="3" t="s">
        <v>18</v>
      </c>
      <c r="F16" s="3" t="s">
        <v>18</v>
      </c>
      <c r="G16" s="3" t="s">
        <v>18</v>
      </c>
      <c r="H16" s="3" t="s">
        <v>18</v>
      </c>
      <c r="I16" s="3" t="s">
        <v>19</v>
      </c>
      <c r="J16" s="12" t="s">
        <v>18</v>
      </c>
      <c r="K16" s="3" t="s">
        <v>19</v>
      </c>
      <c r="L16" s="3" t="s">
        <v>19</v>
      </c>
      <c r="M16" s="3" t="s">
        <v>18</v>
      </c>
      <c r="N16" s="12" t="s">
        <v>19</v>
      </c>
      <c r="O16" s="12" t="s">
        <v>19</v>
      </c>
      <c r="P16" s="3" t="s">
        <v>18</v>
      </c>
      <c r="Q16" s="3" t="s">
        <v>19</v>
      </c>
      <c r="R16" s="9"/>
      <c r="S16" s="3" t="s">
        <v>18</v>
      </c>
      <c r="T16" s="3" t="s">
        <v>19</v>
      </c>
      <c r="U16" s="3" t="s">
        <v>19</v>
      </c>
      <c r="V16" s="3" t="s">
        <v>19</v>
      </c>
      <c r="W16" s="3" t="s">
        <v>18</v>
      </c>
      <c r="X16" s="3" t="s">
        <v>19</v>
      </c>
    </row>
    <row r="17" spans="1:24" x14ac:dyDescent="0.35">
      <c r="A17" s="5" t="s">
        <v>26</v>
      </c>
      <c r="B17" s="3">
        <v>0</v>
      </c>
      <c r="C17" s="3" t="s">
        <v>18</v>
      </c>
      <c r="D17" s="3">
        <v>0</v>
      </c>
      <c r="E17" s="3" t="s">
        <v>18</v>
      </c>
      <c r="F17" s="3" t="s">
        <v>18</v>
      </c>
      <c r="G17" s="9"/>
      <c r="H17" s="3" t="s">
        <v>18</v>
      </c>
      <c r="I17" s="3">
        <v>0</v>
      </c>
      <c r="J17" s="12">
        <v>0</v>
      </c>
      <c r="K17" s="3">
        <v>0</v>
      </c>
      <c r="L17" s="3">
        <v>0</v>
      </c>
      <c r="M17" s="3" t="s">
        <v>18</v>
      </c>
      <c r="N17" s="12">
        <v>0</v>
      </c>
      <c r="O17" s="12">
        <v>0</v>
      </c>
      <c r="P17" s="3" t="s">
        <v>18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18</v>
      </c>
      <c r="X17" s="3">
        <v>0</v>
      </c>
    </row>
    <row r="18" spans="1:24" x14ac:dyDescent="0.35">
      <c r="A18" s="5" t="s">
        <v>44</v>
      </c>
      <c r="B18" s="3" t="s">
        <v>19</v>
      </c>
      <c r="C18" s="3" t="s">
        <v>18</v>
      </c>
      <c r="D18" s="3" t="s">
        <v>18</v>
      </c>
      <c r="E18" s="3" t="s">
        <v>18</v>
      </c>
      <c r="F18" s="3" t="s">
        <v>18</v>
      </c>
      <c r="G18" s="3">
        <v>0</v>
      </c>
      <c r="H18" s="3" t="s">
        <v>18</v>
      </c>
      <c r="I18" s="3" t="s">
        <v>19</v>
      </c>
      <c r="J18" s="12" t="s">
        <v>18</v>
      </c>
      <c r="K18" s="3" t="s">
        <v>18</v>
      </c>
      <c r="L18" s="3" t="s">
        <v>19</v>
      </c>
      <c r="M18" s="3" t="s">
        <v>18</v>
      </c>
      <c r="N18" s="12" t="s">
        <v>19</v>
      </c>
      <c r="O18" s="12" t="s">
        <v>19</v>
      </c>
      <c r="P18" s="9"/>
      <c r="Q18" s="3" t="s">
        <v>18</v>
      </c>
      <c r="R18" s="3" t="s">
        <v>19</v>
      </c>
      <c r="S18" s="3" t="s">
        <v>18</v>
      </c>
      <c r="T18" s="3" t="s">
        <v>18</v>
      </c>
      <c r="U18" s="3" t="s">
        <v>19</v>
      </c>
      <c r="V18" s="3" t="s">
        <v>19</v>
      </c>
      <c r="W18" s="3" t="s">
        <v>18</v>
      </c>
      <c r="X18" s="3" t="s">
        <v>19</v>
      </c>
    </row>
    <row r="19" spans="1:24" hidden="1" x14ac:dyDescent="0.35">
      <c r="A19" s="6" t="s">
        <v>24</v>
      </c>
      <c r="B19" s="3">
        <v>0</v>
      </c>
      <c r="C19" s="3" t="s">
        <v>18</v>
      </c>
      <c r="D19" s="3" t="s">
        <v>18</v>
      </c>
      <c r="E19" s="9"/>
      <c r="F19" s="3" t="s">
        <v>18</v>
      </c>
      <c r="G19" s="3">
        <v>0</v>
      </c>
      <c r="H19" s="3" t="s">
        <v>18</v>
      </c>
      <c r="I19" s="3" t="s">
        <v>18</v>
      </c>
      <c r="J19" s="12" t="s">
        <v>18</v>
      </c>
      <c r="K19" s="3" t="s">
        <v>19</v>
      </c>
      <c r="L19" s="3" t="s">
        <v>19</v>
      </c>
      <c r="M19" s="3" t="s">
        <v>18</v>
      </c>
      <c r="N19" s="12" t="s">
        <v>19</v>
      </c>
      <c r="O19" s="12" t="s">
        <v>19</v>
      </c>
      <c r="P19" s="3" t="s">
        <v>18</v>
      </c>
      <c r="Q19" s="3" t="s">
        <v>19</v>
      </c>
      <c r="R19" s="3" t="s">
        <v>19</v>
      </c>
      <c r="S19" s="3" t="s">
        <v>19</v>
      </c>
      <c r="T19" s="3" t="s">
        <v>18</v>
      </c>
      <c r="U19" s="3" t="s">
        <v>19</v>
      </c>
      <c r="V19" s="3" t="s">
        <v>19</v>
      </c>
      <c r="W19" s="3" t="s">
        <v>18</v>
      </c>
      <c r="X19" s="3" t="s">
        <v>19</v>
      </c>
    </row>
    <row r="20" spans="1:24" hidden="1" x14ac:dyDescent="0.35">
      <c r="A20" s="6" t="s">
        <v>32</v>
      </c>
      <c r="B20" s="3">
        <v>0</v>
      </c>
      <c r="C20" s="3" t="s">
        <v>18</v>
      </c>
      <c r="D20" s="3" t="s">
        <v>19</v>
      </c>
      <c r="E20" s="3" t="s">
        <v>45</v>
      </c>
      <c r="F20" s="3" t="s">
        <v>18</v>
      </c>
      <c r="G20" s="3">
        <v>0</v>
      </c>
      <c r="H20" s="3" t="s">
        <v>18</v>
      </c>
      <c r="I20" s="3" t="s">
        <v>19</v>
      </c>
      <c r="J20" s="12" t="s">
        <v>18</v>
      </c>
      <c r="K20" s="3" t="s">
        <v>19</v>
      </c>
      <c r="L20" s="3" t="s">
        <v>19</v>
      </c>
      <c r="M20" s="9"/>
      <c r="N20" s="12" t="s">
        <v>19</v>
      </c>
      <c r="O20" s="12" t="s">
        <v>19</v>
      </c>
      <c r="P20" s="3" t="s">
        <v>46</v>
      </c>
      <c r="Q20" s="3" t="s">
        <v>19</v>
      </c>
      <c r="R20" s="3" t="s">
        <v>19</v>
      </c>
      <c r="S20" s="3" t="s">
        <v>19</v>
      </c>
      <c r="T20" s="3" t="s">
        <v>46</v>
      </c>
      <c r="U20" s="3" t="s">
        <v>19</v>
      </c>
      <c r="V20" s="3" t="s">
        <v>19</v>
      </c>
      <c r="W20" s="3" t="s">
        <v>18</v>
      </c>
      <c r="X20" s="3" t="s">
        <v>19</v>
      </c>
    </row>
    <row r="21" spans="1:24" hidden="1" x14ac:dyDescent="0.35">
      <c r="A21" s="5" t="s">
        <v>22</v>
      </c>
      <c r="B21" s="3">
        <v>0</v>
      </c>
      <c r="C21" s="9"/>
      <c r="D21" s="3" t="s">
        <v>19</v>
      </c>
      <c r="E21" s="3" t="s">
        <v>19</v>
      </c>
      <c r="F21" s="3" t="s">
        <v>18</v>
      </c>
      <c r="G21" s="3">
        <v>0</v>
      </c>
      <c r="H21" s="3" t="s">
        <v>18</v>
      </c>
      <c r="I21" s="3" t="s">
        <v>47</v>
      </c>
      <c r="J21" s="12" t="s">
        <v>18</v>
      </c>
      <c r="K21" s="3" t="s">
        <v>19</v>
      </c>
      <c r="L21" s="3" t="s">
        <v>19</v>
      </c>
      <c r="M21" s="3" t="s">
        <v>19</v>
      </c>
      <c r="N21" s="12" t="s">
        <v>19</v>
      </c>
      <c r="O21" s="12" t="s">
        <v>19</v>
      </c>
      <c r="P21" s="3" t="s">
        <v>18</v>
      </c>
      <c r="Q21" s="3" t="s">
        <v>47</v>
      </c>
      <c r="R21" s="3" t="s">
        <v>47</v>
      </c>
      <c r="S21" s="3" t="s">
        <v>19</v>
      </c>
      <c r="T21" s="3" t="s">
        <v>18</v>
      </c>
      <c r="U21" s="3" t="s">
        <v>19</v>
      </c>
      <c r="V21" s="3" t="s">
        <v>47</v>
      </c>
      <c r="W21" s="3" t="s">
        <v>18</v>
      </c>
      <c r="X21" s="3" t="s">
        <v>19</v>
      </c>
    </row>
    <row r="22" spans="1:24" hidden="1" x14ac:dyDescent="0.35">
      <c r="A22" s="8" t="s">
        <v>25</v>
      </c>
      <c r="B22" s="12">
        <v>0</v>
      </c>
      <c r="C22" s="12" t="s">
        <v>18</v>
      </c>
      <c r="D22" s="23" t="s">
        <v>19</v>
      </c>
      <c r="E22" s="10" t="s">
        <v>18</v>
      </c>
      <c r="F22" s="22"/>
      <c r="G22" s="12">
        <v>0</v>
      </c>
      <c r="H22" s="12" t="s">
        <v>18</v>
      </c>
      <c r="I22" s="12" t="s">
        <v>18</v>
      </c>
      <c r="J22" s="12" t="s">
        <v>46</v>
      </c>
      <c r="K22" s="12" t="s">
        <v>19</v>
      </c>
      <c r="L22" s="12" t="s">
        <v>18</v>
      </c>
      <c r="M22" s="12" t="s">
        <v>18</v>
      </c>
      <c r="N22" s="12" t="s">
        <v>19</v>
      </c>
      <c r="O22" s="12" t="s">
        <v>19</v>
      </c>
      <c r="P22" s="12" t="s">
        <v>19</v>
      </c>
      <c r="Q22" s="12" t="s">
        <v>46</v>
      </c>
      <c r="R22" s="12" t="s">
        <v>18</v>
      </c>
      <c r="S22" s="12" t="s">
        <v>19</v>
      </c>
      <c r="T22" s="12" t="s">
        <v>19</v>
      </c>
      <c r="U22" s="12" t="s">
        <v>18</v>
      </c>
      <c r="V22" s="12" t="s">
        <v>18</v>
      </c>
      <c r="W22" s="3" t="s">
        <v>18</v>
      </c>
      <c r="X22" s="12" t="s">
        <v>19</v>
      </c>
    </row>
    <row r="23" spans="1:24" hidden="1" x14ac:dyDescent="0.35">
      <c r="A23" s="6" t="s">
        <v>27</v>
      </c>
      <c r="B23" s="12" t="s">
        <v>18</v>
      </c>
      <c r="C23" s="12" t="s">
        <v>18</v>
      </c>
      <c r="D23" s="12" t="s">
        <v>19</v>
      </c>
      <c r="E23" s="3" t="s">
        <v>18</v>
      </c>
      <c r="F23" s="3" t="s">
        <v>18</v>
      </c>
      <c r="G23" s="12" t="s">
        <v>18</v>
      </c>
      <c r="H23" s="13"/>
      <c r="I23" s="12" t="s">
        <v>18</v>
      </c>
      <c r="J23" s="12" t="s">
        <v>19</v>
      </c>
      <c r="K23" s="12" t="s">
        <v>19</v>
      </c>
      <c r="L23" s="12" t="s">
        <v>19</v>
      </c>
      <c r="M23" s="12" t="s">
        <v>18</v>
      </c>
      <c r="N23" s="12" t="s">
        <v>19</v>
      </c>
      <c r="O23" s="12" t="s">
        <v>19</v>
      </c>
      <c r="P23" s="12" t="s">
        <v>18</v>
      </c>
      <c r="Q23" s="12" t="s">
        <v>18</v>
      </c>
      <c r="R23" s="12" t="s">
        <v>18</v>
      </c>
      <c r="S23" s="12" t="s">
        <v>18</v>
      </c>
      <c r="T23" s="12" t="s">
        <v>18</v>
      </c>
      <c r="U23" s="12" t="s">
        <v>18</v>
      </c>
      <c r="V23" s="12" t="s">
        <v>18</v>
      </c>
      <c r="W23" s="2" t="s">
        <v>18</v>
      </c>
      <c r="X23" s="12" t="s">
        <v>18</v>
      </c>
    </row>
    <row r="24" spans="1:24" hidden="1" x14ac:dyDescent="0.35">
      <c r="A24" s="8" t="s">
        <v>42</v>
      </c>
      <c r="B24" s="12" t="s">
        <v>19</v>
      </c>
      <c r="C24" s="12" t="s">
        <v>19</v>
      </c>
      <c r="D24" s="12" t="s">
        <v>19</v>
      </c>
      <c r="E24" s="3" t="s">
        <v>19</v>
      </c>
      <c r="F24" s="3" t="s">
        <v>18</v>
      </c>
      <c r="G24" s="12" t="s">
        <v>18</v>
      </c>
      <c r="H24" s="12" t="s">
        <v>19</v>
      </c>
      <c r="I24" s="12" t="s">
        <v>18</v>
      </c>
      <c r="J24" s="12" t="s">
        <v>18</v>
      </c>
      <c r="K24" s="12" t="s">
        <v>18</v>
      </c>
      <c r="L24" s="12" t="s">
        <v>19</v>
      </c>
      <c r="M24" s="12" t="s">
        <v>18</v>
      </c>
      <c r="N24" s="12" t="s">
        <v>19</v>
      </c>
      <c r="O24" s="12" t="s">
        <v>19</v>
      </c>
      <c r="P24" s="12" t="s">
        <v>19</v>
      </c>
      <c r="Q24" s="12" t="s">
        <v>18</v>
      </c>
      <c r="R24" s="12" t="s">
        <v>18</v>
      </c>
      <c r="S24" s="12" t="s">
        <v>19</v>
      </c>
      <c r="T24" s="12" t="s">
        <v>19</v>
      </c>
      <c r="U24" s="12" t="s">
        <v>19</v>
      </c>
      <c r="V24" s="12" t="s">
        <v>18</v>
      </c>
      <c r="W24" s="24"/>
      <c r="X24" s="12" t="s">
        <v>18</v>
      </c>
    </row>
    <row r="27" spans="1:24" ht="58" x14ac:dyDescent="0.35">
      <c r="A27" s="25" t="s">
        <v>48</v>
      </c>
      <c r="B27" s="11" t="s">
        <v>49</v>
      </c>
      <c r="C27" s="11" t="s">
        <v>21</v>
      </c>
      <c r="D27" s="11" t="s">
        <v>23</v>
      </c>
      <c r="E27" s="11" t="s">
        <v>24</v>
      </c>
      <c r="F27" s="11" t="s">
        <v>25</v>
      </c>
      <c r="G27" s="11" t="s">
        <v>50</v>
      </c>
      <c r="H27" s="11" t="s">
        <v>26</v>
      </c>
      <c r="I27" s="11" t="s">
        <v>27</v>
      </c>
      <c r="J27" s="11" t="s">
        <v>28</v>
      </c>
      <c r="K27" s="11" t="s">
        <v>51</v>
      </c>
      <c r="L27" s="11" t="s">
        <v>29</v>
      </c>
      <c r="M27" s="11" t="s">
        <v>30</v>
      </c>
      <c r="N27" s="11" t="s">
        <v>31</v>
      </c>
      <c r="O27" s="11" t="s">
        <v>32</v>
      </c>
      <c r="P27" s="11" t="s">
        <v>33</v>
      </c>
      <c r="Q27" s="11" t="s">
        <v>34</v>
      </c>
      <c r="R27" s="11" t="s">
        <v>35</v>
      </c>
      <c r="S27" s="11" t="s">
        <v>52</v>
      </c>
      <c r="T27" s="11" t="s">
        <v>38</v>
      </c>
      <c r="U27" s="11" t="s">
        <v>40</v>
      </c>
      <c r="V27" s="11" t="s">
        <v>41</v>
      </c>
      <c r="W27" s="11" t="s">
        <v>42</v>
      </c>
      <c r="X27" s="11" t="s">
        <v>43</v>
      </c>
    </row>
    <row r="28" spans="1:24" hidden="1" x14ac:dyDescent="0.35">
      <c r="A28" s="2" t="s">
        <v>33</v>
      </c>
      <c r="B28" s="3" t="s">
        <v>18</v>
      </c>
      <c r="C28" s="3" t="s">
        <v>18</v>
      </c>
      <c r="D28" s="3" t="s">
        <v>18</v>
      </c>
      <c r="E28" s="3" t="s">
        <v>18</v>
      </c>
      <c r="F28" s="3" t="s">
        <v>18</v>
      </c>
      <c r="G28" s="3" t="s">
        <v>18</v>
      </c>
      <c r="H28" s="3" t="s">
        <v>18</v>
      </c>
      <c r="I28" s="3" t="s">
        <v>18</v>
      </c>
      <c r="J28" s="3" t="s">
        <v>18</v>
      </c>
      <c r="K28" s="3" t="s">
        <v>18</v>
      </c>
      <c r="L28" s="12" t="s">
        <v>18</v>
      </c>
      <c r="M28" s="3" t="s">
        <v>18</v>
      </c>
      <c r="N28" s="3" t="s">
        <v>18</v>
      </c>
      <c r="O28" s="3" t="s">
        <v>18</v>
      </c>
      <c r="P28" s="19"/>
      <c r="Q28" s="12" t="s">
        <v>18</v>
      </c>
      <c r="R28" s="3" t="s">
        <v>18</v>
      </c>
      <c r="S28" s="3" t="s">
        <v>18</v>
      </c>
      <c r="T28" s="3" t="s">
        <v>18</v>
      </c>
      <c r="U28" s="3" t="s">
        <v>18</v>
      </c>
      <c r="V28" s="3" t="s">
        <v>18</v>
      </c>
      <c r="W28" s="3" t="s">
        <v>18</v>
      </c>
      <c r="X28" s="3" t="s">
        <v>18</v>
      </c>
    </row>
    <row r="29" spans="1:24" hidden="1" x14ac:dyDescent="0.35">
      <c r="A29" s="2" t="s">
        <v>34</v>
      </c>
      <c r="B29" s="3" t="s">
        <v>18</v>
      </c>
      <c r="C29" s="3" t="s">
        <v>18</v>
      </c>
      <c r="D29" s="3" t="s">
        <v>18</v>
      </c>
      <c r="E29" s="3" t="s">
        <v>18</v>
      </c>
      <c r="F29" s="3" t="s">
        <v>18</v>
      </c>
      <c r="G29" s="3" t="s">
        <v>18</v>
      </c>
      <c r="H29" s="3" t="s">
        <v>18</v>
      </c>
      <c r="I29" s="3" t="s">
        <v>18</v>
      </c>
      <c r="J29" s="3" t="s">
        <v>18</v>
      </c>
      <c r="K29" s="3" t="s">
        <v>18</v>
      </c>
      <c r="L29" s="12" t="s">
        <v>18</v>
      </c>
      <c r="M29" s="3" t="s">
        <v>18</v>
      </c>
      <c r="N29" s="3" t="s">
        <v>18</v>
      </c>
      <c r="O29" s="3" t="s">
        <v>18</v>
      </c>
      <c r="P29" s="2" t="s">
        <v>19</v>
      </c>
      <c r="Q29" s="13"/>
      <c r="R29" s="3" t="s">
        <v>18</v>
      </c>
      <c r="S29" s="3" t="s">
        <v>18</v>
      </c>
      <c r="T29" s="3" t="s">
        <v>18</v>
      </c>
      <c r="U29" s="3" t="s">
        <v>18</v>
      </c>
      <c r="V29" s="3" t="s">
        <v>18</v>
      </c>
      <c r="W29" s="3" t="s">
        <v>18</v>
      </c>
      <c r="X29" s="3" t="s">
        <v>18</v>
      </c>
    </row>
    <row r="30" spans="1:24" hidden="1" x14ac:dyDescent="0.35">
      <c r="A30" s="2" t="s">
        <v>53</v>
      </c>
      <c r="B30" s="17" t="s">
        <v>18</v>
      </c>
      <c r="C30" s="3" t="s">
        <v>18</v>
      </c>
      <c r="D30" s="3" t="s">
        <v>18</v>
      </c>
      <c r="E30" s="3" t="s">
        <v>18</v>
      </c>
      <c r="F30" s="3" t="s">
        <v>18</v>
      </c>
      <c r="G30" s="3" t="s">
        <v>18</v>
      </c>
      <c r="H30" s="3" t="s">
        <v>18</v>
      </c>
      <c r="I30" s="3" t="s">
        <v>18</v>
      </c>
      <c r="J30" s="3" t="s">
        <v>18</v>
      </c>
      <c r="K30" s="3" t="s">
        <v>18</v>
      </c>
      <c r="L30" s="13"/>
      <c r="M30" s="3" t="s">
        <v>18</v>
      </c>
      <c r="N30" s="3" t="s">
        <v>18</v>
      </c>
      <c r="O30" s="3" t="s">
        <v>18</v>
      </c>
      <c r="P30" s="2" t="s">
        <v>19</v>
      </c>
      <c r="Q30" s="12" t="s">
        <v>19</v>
      </c>
      <c r="R30" s="3" t="s">
        <v>18</v>
      </c>
      <c r="S30" s="3" t="s">
        <v>18</v>
      </c>
      <c r="T30" s="3" t="s">
        <v>18</v>
      </c>
      <c r="U30" s="3" t="s">
        <v>18</v>
      </c>
      <c r="V30" s="3" t="s">
        <v>18</v>
      </c>
      <c r="W30" s="3" t="s">
        <v>18</v>
      </c>
      <c r="X30" s="3" t="s">
        <v>18</v>
      </c>
    </row>
    <row r="31" spans="1:24" hidden="1" x14ac:dyDescent="0.35">
      <c r="A31" s="2" t="s">
        <v>40</v>
      </c>
      <c r="B31" s="17" t="s">
        <v>18</v>
      </c>
      <c r="C31" s="3" t="s">
        <v>18</v>
      </c>
      <c r="D31" s="3" t="s">
        <v>18</v>
      </c>
      <c r="E31" s="3" t="s">
        <v>18</v>
      </c>
      <c r="F31" s="3" t="s">
        <v>18</v>
      </c>
      <c r="G31" s="3" t="s">
        <v>18</v>
      </c>
      <c r="H31" s="3" t="s">
        <v>18</v>
      </c>
      <c r="I31" s="3" t="s">
        <v>18</v>
      </c>
      <c r="J31" s="3" t="s">
        <v>18</v>
      </c>
      <c r="K31" s="3" t="s">
        <v>18</v>
      </c>
      <c r="L31" s="12" t="s">
        <v>19</v>
      </c>
      <c r="M31" s="3" t="s">
        <v>18</v>
      </c>
      <c r="N31" s="3" t="s">
        <v>18</v>
      </c>
      <c r="O31" s="3" t="s">
        <v>18</v>
      </c>
      <c r="P31" s="6" t="s">
        <v>19</v>
      </c>
      <c r="Q31" s="12" t="s">
        <v>19</v>
      </c>
      <c r="R31" s="3" t="s">
        <v>18</v>
      </c>
      <c r="S31" s="3" t="s">
        <v>18</v>
      </c>
      <c r="T31" s="3" t="s">
        <v>18</v>
      </c>
      <c r="U31" s="9"/>
      <c r="V31" s="3" t="s">
        <v>18</v>
      </c>
      <c r="W31" s="3" t="s">
        <v>18</v>
      </c>
      <c r="X31" s="3" t="s">
        <v>18</v>
      </c>
    </row>
    <row r="32" spans="1:24" hidden="1" x14ac:dyDescent="0.35">
      <c r="A32" s="2" t="s">
        <v>23</v>
      </c>
      <c r="B32" s="17" t="s">
        <v>18</v>
      </c>
      <c r="C32" s="3" t="s">
        <v>18</v>
      </c>
      <c r="D32" s="9"/>
      <c r="E32" s="3" t="s">
        <v>18</v>
      </c>
      <c r="F32" s="3" t="s">
        <v>18</v>
      </c>
      <c r="G32" s="3" t="s">
        <v>18</v>
      </c>
      <c r="H32" s="3" t="s">
        <v>18</v>
      </c>
      <c r="I32" s="3" t="s">
        <v>18</v>
      </c>
      <c r="J32" s="3" t="s">
        <v>18</v>
      </c>
      <c r="K32" s="3" t="s">
        <v>18</v>
      </c>
      <c r="L32" s="12" t="s">
        <v>18</v>
      </c>
      <c r="M32" s="3" t="s">
        <v>18</v>
      </c>
      <c r="N32" s="3" t="s">
        <v>18</v>
      </c>
      <c r="O32" s="3" t="s">
        <v>18</v>
      </c>
      <c r="P32" s="6" t="s">
        <v>19</v>
      </c>
      <c r="Q32" s="12" t="s">
        <v>19</v>
      </c>
      <c r="R32" s="3" t="s">
        <v>18</v>
      </c>
      <c r="S32" s="3" t="s">
        <v>18</v>
      </c>
      <c r="T32" s="3" t="s">
        <v>18</v>
      </c>
      <c r="U32" s="3" t="s">
        <v>19</v>
      </c>
      <c r="V32" s="3" t="s">
        <v>18</v>
      </c>
      <c r="W32" s="3" t="s">
        <v>18</v>
      </c>
      <c r="X32" s="3" t="s">
        <v>18</v>
      </c>
    </row>
    <row r="33" spans="1:24" hidden="1" x14ac:dyDescent="0.35">
      <c r="A33" s="2" t="s">
        <v>41</v>
      </c>
      <c r="B33" s="17" t="s">
        <v>18</v>
      </c>
      <c r="C33" s="3" t="s">
        <v>18</v>
      </c>
      <c r="D33" s="3" t="s">
        <v>18</v>
      </c>
      <c r="E33" s="3" t="s">
        <v>18</v>
      </c>
      <c r="F33" s="3" t="s">
        <v>18</v>
      </c>
      <c r="G33" s="3" t="s">
        <v>18</v>
      </c>
      <c r="H33" s="3" t="s">
        <v>18</v>
      </c>
      <c r="I33" s="3" t="s">
        <v>18</v>
      </c>
      <c r="J33" s="3" t="s">
        <v>18</v>
      </c>
      <c r="K33" s="3" t="s">
        <v>18</v>
      </c>
      <c r="L33" s="12" t="s">
        <v>19</v>
      </c>
      <c r="M33" s="3" t="s">
        <v>18</v>
      </c>
      <c r="N33" s="3" t="s">
        <v>18</v>
      </c>
      <c r="O33" s="3" t="s">
        <v>18</v>
      </c>
      <c r="P33" s="6" t="s">
        <v>19</v>
      </c>
      <c r="Q33" s="12" t="s">
        <v>19</v>
      </c>
      <c r="R33" s="3" t="s">
        <v>18</v>
      </c>
      <c r="S33" s="3" t="s">
        <v>18</v>
      </c>
      <c r="T33" s="3" t="s">
        <v>18</v>
      </c>
      <c r="U33" s="3" t="s">
        <v>19</v>
      </c>
      <c r="V33" s="9"/>
      <c r="W33" s="3" t="s">
        <v>18</v>
      </c>
      <c r="X33" s="3" t="s">
        <v>18</v>
      </c>
    </row>
    <row r="34" spans="1:24" hidden="1" x14ac:dyDescent="0.35">
      <c r="A34" s="5" t="s">
        <v>31</v>
      </c>
      <c r="B34" s="17" t="s">
        <v>18</v>
      </c>
      <c r="C34" s="3" t="s">
        <v>18</v>
      </c>
      <c r="D34" s="3" t="s">
        <v>19</v>
      </c>
      <c r="E34" s="3" t="s">
        <v>18</v>
      </c>
      <c r="F34" s="3" t="s">
        <v>18</v>
      </c>
      <c r="G34" s="3" t="s">
        <v>18</v>
      </c>
      <c r="H34" s="3" t="s">
        <v>18</v>
      </c>
      <c r="I34" s="3" t="s">
        <v>18</v>
      </c>
      <c r="J34" s="3" t="s">
        <v>18</v>
      </c>
      <c r="K34" s="3" t="s">
        <v>18</v>
      </c>
      <c r="L34" s="12" t="s">
        <v>19</v>
      </c>
      <c r="M34" s="3" t="s">
        <v>18</v>
      </c>
      <c r="N34" s="9"/>
      <c r="O34" s="3" t="s">
        <v>18</v>
      </c>
      <c r="P34" s="6" t="s">
        <v>19</v>
      </c>
      <c r="Q34" s="12" t="s">
        <v>19</v>
      </c>
      <c r="R34" s="3" t="s">
        <v>18</v>
      </c>
      <c r="S34" s="3" t="s">
        <v>18</v>
      </c>
      <c r="T34" s="3" t="s">
        <v>18</v>
      </c>
      <c r="U34" s="3" t="s">
        <v>19</v>
      </c>
      <c r="V34" s="3" t="s">
        <v>19</v>
      </c>
      <c r="W34" s="3" t="s">
        <v>18</v>
      </c>
      <c r="X34" s="3" t="s">
        <v>18</v>
      </c>
    </row>
    <row r="35" spans="1:24" hidden="1" x14ac:dyDescent="0.35">
      <c r="A35" s="5" t="s">
        <v>28</v>
      </c>
      <c r="B35" s="17" t="s">
        <v>18</v>
      </c>
      <c r="C35" s="3" t="s">
        <v>18</v>
      </c>
      <c r="D35" s="3" t="s">
        <v>18</v>
      </c>
      <c r="E35" s="3" t="s">
        <v>18</v>
      </c>
      <c r="F35" s="3" t="s">
        <v>18</v>
      </c>
      <c r="G35" s="3" t="s">
        <v>18</v>
      </c>
      <c r="H35" s="3" t="s">
        <v>18</v>
      </c>
      <c r="I35" s="3" t="s">
        <v>18</v>
      </c>
      <c r="J35" s="9"/>
      <c r="K35" s="3" t="s">
        <v>18</v>
      </c>
      <c r="L35" s="12" t="s">
        <v>19</v>
      </c>
      <c r="M35" s="3" t="s">
        <v>18</v>
      </c>
      <c r="N35" s="3" t="s">
        <v>19</v>
      </c>
      <c r="O35" s="3" t="s">
        <v>18</v>
      </c>
      <c r="P35" s="6" t="s">
        <v>19</v>
      </c>
      <c r="Q35" s="12" t="s">
        <v>19</v>
      </c>
      <c r="R35" s="3" t="s">
        <v>18</v>
      </c>
      <c r="S35" s="3" t="s">
        <v>18</v>
      </c>
      <c r="T35" s="3" t="s">
        <v>18</v>
      </c>
      <c r="U35" s="3" t="s">
        <v>19</v>
      </c>
      <c r="V35" s="3" t="s">
        <v>19</v>
      </c>
      <c r="W35" s="3" t="s">
        <v>18</v>
      </c>
      <c r="X35" s="3" t="s">
        <v>18</v>
      </c>
    </row>
    <row r="36" spans="1:24" hidden="1" x14ac:dyDescent="0.35">
      <c r="A36" s="5" t="s">
        <v>51</v>
      </c>
      <c r="B36" s="17" t="s">
        <v>18</v>
      </c>
      <c r="C36" s="3" t="s">
        <v>18</v>
      </c>
      <c r="D36" s="3" t="s">
        <v>18</v>
      </c>
      <c r="E36" s="3" t="s">
        <v>18</v>
      </c>
      <c r="F36" s="3" t="s">
        <v>18</v>
      </c>
      <c r="G36" s="3" t="s">
        <v>18</v>
      </c>
      <c r="H36" s="3" t="s">
        <v>18</v>
      </c>
      <c r="I36" s="3" t="s">
        <v>18</v>
      </c>
      <c r="J36" s="3" t="s">
        <v>19</v>
      </c>
      <c r="K36" s="9"/>
      <c r="L36" s="12" t="s">
        <v>19</v>
      </c>
      <c r="M36" s="3" t="s">
        <v>18</v>
      </c>
      <c r="N36" s="3" t="s">
        <v>19</v>
      </c>
      <c r="O36" s="3" t="s">
        <v>18</v>
      </c>
      <c r="P36" s="6" t="s">
        <v>19</v>
      </c>
      <c r="Q36" s="12" t="s">
        <v>19</v>
      </c>
      <c r="R36" s="3" t="s">
        <v>18</v>
      </c>
      <c r="S36" s="3" t="s">
        <v>18</v>
      </c>
      <c r="T36" s="3" t="s">
        <v>18</v>
      </c>
      <c r="U36" s="3" t="s">
        <v>19</v>
      </c>
      <c r="V36" s="3" t="s">
        <v>19</v>
      </c>
      <c r="W36" s="3" t="s">
        <v>18</v>
      </c>
      <c r="X36" s="3" t="s">
        <v>18</v>
      </c>
    </row>
    <row r="37" spans="1:24" hidden="1" x14ac:dyDescent="0.35">
      <c r="A37" s="5" t="s">
        <v>30</v>
      </c>
      <c r="B37" s="17" t="s">
        <v>18</v>
      </c>
      <c r="C37" s="3" t="s">
        <v>18</v>
      </c>
      <c r="D37" s="3" t="s">
        <v>19</v>
      </c>
      <c r="E37" s="3" t="s">
        <v>18</v>
      </c>
      <c r="F37" s="3" t="s">
        <v>18</v>
      </c>
      <c r="G37" s="3" t="s">
        <v>18</v>
      </c>
      <c r="H37" s="3" t="s">
        <v>18</v>
      </c>
      <c r="I37" s="3" t="s">
        <v>18</v>
      </c>
      <c r="J37" s="3" t="s">
        <v>19</v>
      </c>
      <c r="K37" s="3" t="s">
        <v>18</v>
      </c>
      <c r="L37" s="12" t="s">
        <v>19</v>
      </c>
      <c r="M37" s="9"/>
      <c r="N37" s="3" t="s">
        <v>19</v>
      </c>
      <c r="O37" s="3" t="s">
        <v>18</v>
      </c>
      <c r="P37" s="6" t="s">
        <v>19</v>
      </c>
      <c r="Q37" s="12" t="s">
        <v>19</v>
      </c>
      <c r="R37" s="3" t="s">
        <v>18</v>
      </c>
      <c r="S37" s="3" t="s">
        <v>18</v>
      </c>
      <c r="T37" s="3" t="s">
        <v>18</v>
      </c>
      <c r="U37" s="3" t="s">
        <v>19</v>
      </c>
      <c r="V37" s="3" t="s">
        <v>19</v>
      </c>
      <c r="W37" s="3" t="s">
        <v>18</v>
      </c>
      <c r="X37" s="3" t="s">
        <v>18</v>
      </c>
    </row>
    <row r="38" spans="1:24" hidden="1" x14ac:dyDescent="0.35">
      <c r="A38" s="5" t="s">
        <v>38</v>
      </c>
      <c r="B38" s="17" t="s">
        <v>18</v>
      </c>
      <c r="C38" s="3" t="s">
        <v>18</v>
      </c>
      <c r="D38" s="3" t="s">
        <v>19</v>
      </c>
      <c r="E38" s="3" t="s">
        <v>18</v>
      </c>
      <c r="F38" s="3" t="s">
        <v>18</v>
      </c>
      <c r="G38" s="3" t="s">
        <v>18</v>
      </c>
      <c r="H38" s="3" t="s">
        <v>18</v>
      </c>
      <c r="I38" s="3" t="s">
        <v>18</v>
      </c>
      <c r="J38" s="3" t="s">
        <v>19</v>
      </c>
      <c r="K38" s="3" t="s">
        <v>18</v>
      </c>
      <c r="L38" s="12" t="s">
        <v>18</v>
      </c>
      <c r="M38" s="3" t="s">
        <v>19</v>
      </c>
      <c r="N38" s="3" t="s">
        <v>19</v>
      </c>
      <c r="O38" s="3" t="s">
        <v>18</v>
      </c>
      <c r="P38" s="6" t="s">
        <v>19</v>
      </c>
      <c r="Q38" s="12" t="s">
        <v>19</v>
      </c>
      <c r="R38" s="3" t="s">
        <v>18</v>
      </c>
      <c r="S38" s="3" t="s">
        <v>18</v>
      </c>
      <c r="T38" s="9"/>
      <c r="U38" s="3" t="s">
        <v>19</v>
      </c>
      <c r="V38" s="3" t="s">
        <v>19</v>
      </c>
      <c r="W38" s="3" t="s">
        <v>18</v>
      </c>
      <c r="X38" s="3" t="s">
        <v>18</v>
      </c>
    </row>
    <row r="39" spans="1:24" hidden="1" x14ac:dyDescent="0.35">
      <c r="A39" s="5" t="s">
        <v>21</v>
      </c>
      <c r="B39" s="17" t="s">
        <v>18</v>
      </c>
      <c r="C39" s="9"/>
      <c r="D39" s="3" t="s">
        <v>19</v>
      </c>
      <c r="E39" s="3" t="s">
        <v>18</v>
      </c>
      <c r="F39" s="3" t="s">
        <v>18</v>
      </c>
      <c r="G39" s="3" t="s">
        <v>18</v>
      </c>
      <c r="H39" s="3" t="s">
        <v>18</v>
      </c>
      <c r="I39" s="3" t="s">
        <v>18</v>
      </c>
      <c r="J39" s="3" t="s">
        <v>19</v>
      </c>
      <c r="K39" s="3" t="s">
        <v>18</v>
      </c>
      <c r="L39" s="12" t="s">
        <v>18</v>
      </c>
      <c r="M39" s="3" t="s">
        <v>19</v>
      </c>
      <c r="N39" s="3" t="s">
        <v>19</v>
      </c>
      <c r="O39" s="3" t="s">
        <v>18</v>
      </c>
      <c r="P39" s="6" t="s">
        <v>19</v>
      </c>
      <c r="Q39" s="12" t="s">
        <v>19</v>
      </c>
      <c r="R39" s="3" t="s">
        <v>18</v>
      </c>
      <c r="S39" s="3" t="s">
        <v>18</v>
      </c>
      <c r="T39" s="3" t="s">
        <v>19</v>
      </c>
      <c r="U39" s="3" t="s">
        <v>19</v>
      </c>
      <c r="V39" s="3" t="s">
        <v>19</v>
      </c>
      <c r="W39" s="3" t="s">
        <v>18</v>
      </c>
      <c r="X39" s="3" t="s">
        <v>18</v>
      </c>
    </row>
    <row r="40" spans="1:24" hidden="1" x14ac:dyDescent="0.35">
      <c r="A40" s="5" t="s">
        <v>43</v>
      </c>
      <c r="B40" s="3" t="s">
        <v>18</v>
      </c>
      <c r="C40" s="3" t="s">
        <v>19</v>
      </c>
      <c r="D40" s="3" t="s">
        <v>19</v>
      </c>
      <c r="E40" s="3" t="s">
        <v>18</v>
      </c>
      <c r="F40" s="3" t="s">
        <v>18</v>
      </c>
      <c r="G40" s="3" t="s">
        <v>18</v>
      </c>
      <c r="H40" s="3" t="s">
        <v>18</v>
      </c>
      <c r="I40" s="3" t="s">
        <v>18</v>
      </c>
      <c r="J40" s="3" t="s">
        <v>19</v>
      </c>
      <c r="K40" s="3" t="s">
        <v>18</v>
      </c>
      <c r="L40" s="12" t="s">
        <v>18</v>
      </c>
      <c r="M40" s="3" t="s">
        <v>19</v>
      </c>
      <c r="N40" s="3" t="s">
        <v>19</v>
      </c>
      <c r="O40" s="3" t="s">
        <v>18</v>
      </c>
      <c r="P40" s="6" t="s">
        <v>19</v>
      </c>
      <c r="Q40" s="12" t="s">
        <v>19</v>
      </c>
      <c r="R40" s="3" t="s">
        <v>18</v>
      </c>
      <c r="S40" s="3" t="s">
        <v>18</v>
      </c>
      <c r="T40" s="3" t="s">
        <v>19</v>
      </c>
      <c r="U40" s="3" t="s">
        <v>19</v>
      </c>
      <c r="V40" s="3" t="s">
        <v>19</v>
      </c>
      <c r="W40" s="3" t="s">
        <v>18</v>
      </c>
      <c r="X40" s="9"/>
    </row>
    <row r="41" spans="1:24" hidden="1" x14ac:dyDescent="0.35">
      <c r="A41" s="5" t="s">
        <v>50</v>
      </c>
      <c r="B41" s="3" t="s">
        <v>18</v>
      </c>
      <c r="C41" s="3" t="s">
        <v>19</v>
      </c>
      <c r="D41" s="3" t="s">
        <v>19</v>
      </c>
      <c r="E41" s="3" t="s">
        <v>18</v>
      </c>
      <c r="F41" s="3" t="s">
        <v>18</v>
      </c>
      <c r="G41" s="9"/>
      <c r="H41" s="3" t="s">
        <v>18</v>
      </c>
      <c r="I41" s="3" t="s">
        <v>18</v>
      </c>
      <c r="J41" s="3" t="s">
        <v>19</v>
      </c>
      <c r="K41" s="3" t="s">
        <v>18</v>
      </c>
      <c r="L41" s="12" t="s">
        <v>18</v>
      </c>
      <c r="M41" s="3" t="s">
        <v>19</v>
      </c>
      <c r="N41" s="3" t="s">
        <v>19</v>
      </c>
      <c r="O41" s="3" t="s">
        <v>18</v>
      </c>
      <c r="P41" s="6" t="s">
        <v>19</v>
      </c>
      <c r="Q41" s="12" t="s">
        <v>19</v>
      </c>
      <c r="R41" s="3" t="s">
        <v>18</v>
      </c>
      <c r="S41" s="3" t="s">
        <v>18</v>
      </c>
      <c r="T41" s="3" t="s">
        <v>19</v>
      </c>
      <c r="U41" s="3" t="s">
        <v>19</v>
      </c>
      <c r="V41" s="3" t="s">
        <v>19</v>
      </c>
      <c r="W41" s="3" t="s">
        <v>18</v>
      </c>
      <c r="X41" s="3" t="s">
        <v>19</v>
      </c>
    </row>
    <row r="42" spans="1:24" hidden="1" x14ac:dyDescent="0.35">
      <c r="A42" s="5" t="s">
        <v>52</v>
      </c>
      <c r="B42" s="3" t="s">
        <v>18</v>
      </c>
      <c r="C42" s="3" t="s">
        <v>18</v>
      </c>
      <c r="D42" s="3" t="s">
        <v>18</v>
      </c>
      <c r="E42" s="3" t="s">
        <v>18</v>
      </c>
      <c r="F42" s="3" t="s">
        <v>18</v>
      </c>
      <c r="G42" s="3" t="s">
        <v>18</v>
      </c>
      <c r="H42" s="3" t="s">
        <v>18</v>
      </c>
      <c r="I42" s="3" t="s">
        <v>18</v>
      </c>
      <c r="J42" s="3" t="s">
        <v>19</v>
      </c>
      <c r="K42" s="3" t="s">
        <v>19</v>
      </c>
      <c r="L42" s="12" t="s">
        <v>19</v>
      </c>
      <c r="M42" s="3" t="s">
        <v>18</v>
      </c>
      <c r="N42" s="3" t="s">
        <v>19</v>
      </c>
      <c r="O42" s="3" t="s">
        <v>18</v>
      </c>
      <c r="P42" s="6" t="s">
        <v>19</v>
      </c>
      <c r="Q42" s="12" t="s">
        <v>19</v>
      </c>
      <c r="R42" s="3" t="s">
        <v>18</v>
      </c>
      <c r="S42" s="9"/>
      <c r="T42" s="3" t="s">
        <v>18</v>
      </c>
      <c r="U42" s="3" t="s">
        <v>19</v>
      </c>
      <c r="V42" s="3" t="s">
        <v>19</v>
      </c>
      <c r="W42" s="3" t="s">
        <v>18</v>
      </c>
      <c r="X42" s="3" t="s">
        <v>18</v>
      </c>
    </row>
    <row r="43" spans="1:24" hidden="1" x14ac:dyDescent="0.35">
      <c r="A43" s="5" t="s">
        <v>49</v>
      </c>
      <c r="B43" s="9"/>
      <c r="C43" s="3" t="s">
        <v>18</v>
      </c>
      <c r="D43" s="3" t="s">
        <v>18</v>
      </c>
      <c r="E43" s="3" t="s">
        <v>18</v>
      </c>
      <c r="F43" s="3" t="s">
        <v>18</v>
      </c>
      <c r="G43" s="3" t="s">
        <v>18</v>
      </c>
      <c r="H43" s="3" t="s">
        <v>18</v>
      </c>
      <c r="I43" s="3" t="s">
        <v>18</v>
      </c>
      <c r="J43" s="3" t="s">
        <v>19</v>
      </c>
      <c r="K43" s="3" t="s">
        <v>19</v>
      </c>
      <c r="L43" s="12" t="s">
        <v>19</v>
      </c>
      <c r="M43" s="3" t="s">
        <v>18</v>
      </c>
      <c r="N43" s="3" t="s">
        <v>19</v>
      </c>
      <c r="O43" s="3" t="s">
        <v>18</v>
      </c>
      <c r="P43" s="6" t="s">
        <v>19</v>
      </c>
      <c r="Q43" s="12" t="s">
        <v>19</v>
      </c>
      <c r="R43" s="3" t="s">
        <v>18</v>
      </c>
      <c r="S43" s="3" t="s">
        <v>19</v>
      </c>
      <c r="T43" s="3" t="s">
        <v>18</v>
      </c>
      <c r="U43" s="3" t="s">
        <v>19</v>
      </c>
      <c r="V43" s="3" t="s">
        <v>19</v>
      </c>
      <c r="W43" s="3" t="s">
        <v>18</v>
      </c>
      <c r="X43" s="3" t="s">
        <v>18</v>
      </c>
    </row>
    <row r="44" spans="1:24" hidden="1" x14ac:dyDescent="0.35">
      <c r="A44" s="5" t="s">
        <v>24</v>
      </c>
      <c r="B44" s="3" t="s">
        <v>18</v>
      </c>
      <c r="C44" s="3" t="s">
        <v>19</v>
      </c>
      <c r="D44" s="3" t="s">
        <v>18</v>
      </c>
      <c r="E44" s="9"/>
      <c r="F44" s="3" t="s">
        <v>18</v>
      </c>
      <c r="G44" s="3" t="s">
        <v>18</v>
      </c>
      <c r="H44" s="3" t="s">
        <v>18</v>
      </c>
      <c r="I44" s="3" t="s">
        <v>18</v>
      </c>
      <c r="J44" s="3" t="s">
        <v>18</v>
      </c>
      <c r="K44" s="3" t="s">
        <v>18</v>
      </c>
      <c r="L44" s="12" t="s">
        <v>18</v>
      </c>
      <c r="M44" s="3" t="s">
        <v>19</v>
      </c>
      <c r="N44" s="3" t="s">
        <v>19</v>
      </c>
      <c r="O44" s="3" t="s">
        <v>18</v>
      </c>
      <c r="P44" s="6" t="s">
        <v>19</v>
      </c>
      <c r="Q44" s="12" t="s">
        <v>19</v>
      </c>
      <c r="R44" s="3" t="s">
        <v>18</v>
      </c>
      <c r="S44" s="3" t="s">
        <v>18</v>
      </c>
      <c r="T44" s="3" t="s">
        <v>19</v>
      </c>
      <c r="U44" s="3" t="s">
        <v>19</v>
      </c>
      <c r="V44" s="3" t="s">
        <v>19</v>
      </c>
      <c r="W44" s="3" t="s">
        <v>18</v>
      </c>
      <c r="X44" s="3" t="s">
        <v>19</v>
      </c>
    </row>
    <row r="45" spans="1:24" hidden="1" x14ac:dyDescent="0.35">
      <c r="A45" s="6" t="s">
        <v>32</v>
      </c>
      <c r="B45" s="3" t="s">
        <v>18</v>
      </c>
      <c r="C45" s="3" t="s">
        <v>19</v>
      </c>
      <c r="D45" s="3" t="s">
        <v>19</v>
      </c>
      <c r="E45" s="3" t="s">
        <v>19</v>
      </c>
      <c r="F45" s="3" t="s">
        <v>18</v>
      </c>
      <c r="G45" s="3" t="s">
        <v>19</v>
      </c>
      <c r="H45" s="3" t="s">
        <v>18</v>
      </c>
      <c r="I45" s="3" t="s">
        <v>18</v>
      </c>
      <c r="J45" s="3" t="s">
        <v>19</v>
      </c>
      <c r="K45" s="3" t="s">
        <v>18</v>
      </c>
      <c r="L45" s="12" t="s">
        <v>18</v>
      </c>
      <c r="M45" s="3" t="s">
        <v>19</v>
      </c>
      <c r="N45" s="3" t="s">
        <v>19</v>
      </c>
      <c r="O45" s="9"/>
      <c r="P45" s="6" t="s">
        <v>19</v>
      </c>
      <c r="Q45" s="12" t="s">
        <v>19</v>
      </c>
      <c r="R45" s="3" t="s">
        <v>18</v>
      </c>
      <c r="S45" s="3" t="s">
        <v>18</v>
      </c>
      <c r="T45" s="3" t="s">
        <v>19</v>
      </c>
      <c r="U45" s="3" t="s">
        <v>19</v>
      </c>
      <c r="V45" s="3" t="s">
        <v>19</v>
      </c>
      <c r="W45" s="3" t="s">
        <v>18</v>
      </c>
      <c r="X45" s="3" t="s">
        <v>19</v>
      </c>
    </row>
    <row r="46" spans="1:24" hidden="1" x14ac:dyDescent="0.35">
      <c r="A46" s="6" t="s">
        <v>26</v>
      </c>
      <c r="B46" s="3" t="s">
        <v>18</v>
      </c>
      <c r="C46" s="3" t="s">
        <v>18</v>
      </c>
      <c r="D46" s="3" t="s">
        <v>18</v>
      </c>
      <c r="E46" s="3" t="s">
        <v>19</v>
      </c>
      <c r="F46" s="3" t="s">
        <v>18</v>
      </c>
      <c r="G46" s="3" t="s">
        <v>18</v>
      </c>
      <c r="H46" s="9"/>
      <c r="I46" s="3" t="s">
        <v>18</v>
      </c>
      <c r="J46" s="3" t="s">
        <v>18</v>
      </c>
      <c r="K46" s="3" t="s">
        <v>18</v>
      </c>
      <c r="L46" s="12" t="s">
        <v>18</v>
      </c>
      <c r="M46" s="3" t="s">
        <v>18</v>
      </c>
      <c r="N46" s="3" t="s">
        <v>18</v>
      </c>
      <c r="O46" s="3" t="s">
        <v>18</v>
      </c>
      <c r="P46" s="6" t="s">
        <v>19</v>
      </c>
      <c r="Q46" s="12" t="s">
        <v>19</v>
      </c>
      <c r="R46" s="3" t="s">
        <v>18</v>
      </c>
      <c r="S46" s="3" t="s">
        <v>18</v>
      </c>
      <c r="T46" s="3" t="s">
        <v>18</v>
      </c>
      <c r="U46" s="3" t="s">
        <v>18</v>
      </c>
      <c r="V46" s="3" t="s">
        <v>18</v>
      </c>
      <c r="W46" s="3" t="s">
        <v>18</v>
      </c>
      <c r="X46" s="3" t="s">
        <v>18</v>
      </c>
    </row>
    <row r="47" spans="1:24" hidden="1" x14ac:dyDescent="0.35">
      <c r="A47" s="5" t="s">
        <v>25</v>
      </c>
      <c r="B47" s="3" t="s">
        <v>19</v>
      </c>
      <c r="C47" s="3" t="s">
        <v>19</v>
      </c>
      <c r="D47" s="3" t="s">
        <v>19</v>
      </c>
      <c r="E47" s="3" t="s">
        <v>18</v>
      </c>
      <c r="F47" s="9"/>
      <c r="G47" s="3" t="s">
        <v>19</v>
      </c>
      <c r="H47" s="3" t="s">
        <v>18</v>
      </c>
      <c r="I47" s="3" t="s">
        <v>18</v>
      </c>
      <c r="J47" s="3" t="s">
        <v>18</v>
      </c>
      <c r="K47" s="3" t="s">
        <v>19</v>
      </c>
      <c r="L47" s="12" t="s">
        <v>19</v>
      </c>
      <c r="M47" s="3" t="s">
        <v>19</v>
      </c>
      <c r="N47" s="3" t="s">
        <v>18</v>
      </c>
      <c r="O47" s="3" t="s">
        <v>19</v>
      </c>
      <c r="P47" s="6" t="s">
        <v>19</v>
      </c>
      <c r="Q47" s="12" t="s">
        <v>19</v>
      </c>
      <c r="R47" s="3" t="s">
        <v>18</v>
      </c>
      <c r="S47" s="3" t="s">
        <v>19</v>
      </c>
      <c r="T47" s="3" t="s">
        <v>19</v>
      </c>
      <c r="U47" s="3" t="s">
        <v>18</v>
      </c>
      <c r="V47" s="3" t="s">
        <v>18</v>
      </c>
      <c r="W47" s="3" t="s">
        <v>18</v>
      </c>
      <c r="X47" s="3" t="s">
        <v>19</v>
      </c>
    </row>
    <row r="48" spans="1:24" x14ac:dyDescent="0.35">
      <c r="A48" s="6" t="s">
        <v>35</v>
      </c>
      <c r="B48" s="3" t="s">
        <v>18</v>
      </c>
      <c r="C48" s="3" t="s">
        <v>19</v>
      </c>
      <c r="D48" s="3" t="s">
        <v>19</v>
      </c>
      <c r="E48" s="3" t="s">
        <v>18</v>
      </c>
      <c r="F48" s="3" t="s">
        <v>18</v>
      </c>
      <c r="G48" s="3" t="s">
        <v>18</v>
      </c>
      <c r="H48" s="3" t="s">
        <v>18</v>
      </c>
      <c r="I48" s="3" t="s">
        <v>18</v>
      </c>
      <c r="J48" s="3" t="s">
        <v>19</v>
      </c>
      <c r="K48" s="3" t="s">
        <v>19</v>
      </c>
      <c r="L48" s="12" t="s">
        <v>19</v>
      </c>
      <c r="M48" s="3" t="s">
        <v>18</v>
      </c>
      <c r="N48" s="3" t="s">
        <v>19</v>
      </c>
      <c r="O48" s="3" t="s">
        <v>18</v>
      </c>
      <c r="P48" s="6" t="s">
        <v>19</v>
      </c>
      <c r="Q48" s="12" t="s">
        <v>19</v>
      </c>
      <c r="R48" s="9"/>
      <c r="S48" s="3" t="s">
        <v>18</v>
      </c>
      <c r="T48" s="3" t="s">
        <v>19</v>
      </c>
      <c r="U48" s="3" t="s">
        <v>18</v>
      </c>
      <c r="V48" s="3" t="s">
        <v>18</v>
      </c>
      <c r="W48" s="3" t="s">
        <v>18</v>
      </c>
      <c r="X48" s="3" t="s">
        <v>18</v>
      </c>
    </row>
    <row r="49" spans="1:24" x14ac:dyDescent="0.35">
      <c r="A49" s="6" t="s">
        <v>27</v>
      </c>
      <c r="B49" s="3" t="s">
        <v>18</v>
      </c>
      <c r="C49" s="3" t="s">
        <v>18</v>
      </c>
      <c r="D49" s="3" t="s">
        <v>19</v>
      </c>
      <c r="E49" s="3" t="s">
        <v>18</v>
      </c>
      <c r="F49" s="3" t="s">
        <v>18</v>
      </c>
      <c r="G49" s="3" t="s">
        <v>18</v>
      </c>
      <c r="H49" s="3" t="s">
        <v>18</v>
      </c>
      <c r="I49" s="9"/>
      <c r="J49" s="3" t="s">
        <v>18</v>
      </c>
      <c r="K49" s="3" t="s">
        <v>18</v>
      </c>
      <c r="L49" s="12" t="s">
        <v>19</v>
      </c>
      <c r="M49" s="3" t="s">
        <v>19</v>
      </c>
      <c r="N49" s="3" t="s">
        <v>19</v>
      </c>
      <c r="O49" s="3" t="s">
        <v>18</v>
      </c>
      <c r="P49" s="6" t="s">
        <v>19</v>
      </c>
      <c r="Q49" s="12" t="s">
        <v>19</v>
      </c>
      <c r="R49" s="3" t="s">
        <v>18</v>
      </c>
      <c r="S49" s="3" t="s">
        <v>18</v>
      </c>
      <c r="T49" s="3" t="s">
        <v>18</v>
      </c>
      <c r="U49" s="3" t="s">
        <v>18</v>
      </c>
      <c r="V49" s="3" t="s">
        <v>18</v>
      </c>
      <c r="W49" s="3" t="s">
        <v>18</v>
      </c>
      <c r="X49" s="3" t="s">
        <v>18</v>
      </c>
    </row>
    <row r="50" spans="1:24" x14ac:dyDescent="0.35">
      <c r="A50" s="8" t="s">
        <v>42</v>
      </c>
      <c r="B50" s="3" t="s">
        <v>19</v>
      </c>
      <c r="C50" s="3" t="s">
        <v>19</v>
      </c>
      <c r="D50" s="3" t="s">
        <v>19</v>
      </c>
      <c r="E50" s="3" t="s">
        <v>19</v>
      </c>
      <c r="F50" s="3" t="s">
        <v>18</v>
      </c>
      <c r="G50" s="3" t="s">
        <v>18</v>
      </c>
      <c r="H50" s="3" t="s">
        <v>18</v>
      </c>
      <c r="I50" s="3" t="s">
        <v>19</v>
      </c>
      <c r="J50" s="3" t="s">
        <v>18</v>
      </c>
      <c r="K50" s="3" t="s">
        <v>18</v>
      </c>
      <c r="L50" s="3" t="s">
        <v>18</v>
      </c>
      <c r="M50" s="3" t="s">
        <v>18</v>
      </c>
      <c r="N50" s="3" t="s">
        <v>19</v>
      </c>
      <c r="O50" s="3" t="s">
        <v>18</v>
      </c>
      <c r="P50" s="6" t="s">
        <v>19</v>
      </c>
      <c r="Q50" s="3" t="s">
        <v>19</v>
      </c>
      <c r="R50" s="3" t="s">
        <v>19</v>
      </c>
      <c r="S50" s="3" t="s">
        <v>19</v>
      </c>
      <c r="T50" s="3" t="s">
        <v>19</v>
      </c>
      <c r="U50" s="3" t="s">
        <v>19</v>
      </c>
      <c r="V50" s="3" t="s">
        <v>18</v>
      </c>
      <c r="W50" s="9"/>
      <c r="X50" s="3" t="s">
        <v>18</v>
      </c>
    </row>
  </sheetData>
  <sortState xmlns:xlrd2="http://schemas.microsoft.com/office/spreadsheetml/2017/richdata2" columnSort="1" ref="B27:X50">
    <sortCondition ref="B27:X27"/>
  </sortState>
  <conditionalFormatting sqref="B28:X50">
    <cfRule type="containsText" dxfId="5" priority="3" operator="containsText" text="N">
      <formula>NOT(ISERROR(SEARCH("N",B28)))</formula>
    </cfRule>
  </conditionalFormatting>
  <conditionalFormatting sqref="B2:W24">
    <cfRule type="containsText" dxfId="4" priority="2" operator="containsText" text="N">
      <formula>NOT(ISERROR(SEARCH("N",B2)))</formula>
    </cfRule>
  </conditionalFormatting>
  <conditionalFormatting sqref="B27:X27 B1:X1">
    <cfRule type="duplicateValues" dxfId="3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4F426-5145-4BA2-A596-6FFE66279508}">
  <dimension ref="A1:X23"/>
  <sheetViews>
    <sheetView workbookViewId="0">
      <selection activeCell="A27" sqref="A27:X50"/>
    </sheetView>
  </sheetViews>
  <sheetFormatPr defaultRowHeight="14.5" x14ac:dyDescent="0.35"/>
  <cols>
    <col min="1" max="1" width="19.54296875" customWidth="1"/>
  </cols>
  <sheetData>
    <row r="1" spans="1:24" ht="58" x14ac:dyDescent="0.35">
      <c r="A1" s="11"/>
      <c r="B1" s="11" t="s">
        <v>26</v>
      </c>
      <c r="C1" s="11" t="s">
        <v>54</v>
      </c>
      <c r="D1" s="2" t="s">
        <v>27</v>
      </c>
      <c r="E1" s="11" t="s">
        <v>35</v>
      </c>
      <c r="F1" s="11" t="s">
        <v>55</v>
      </c>
      <c r="G1" s="11" t="s">
        <v>32</v>
      </c>
      <c r="H1" s="11" t="s">
        <v>56</v>
      </c>
      <c r="I1" s="11" t="s">
        <v>49</v>
      </c>
      <c r="J1" s="11" t="s">
        <v>52</v>
      </c>
      <c r="K1" s="11" t="s">
        <v>50</v>
      </c>
      <c r="L1" s="11" t="s">
        <v>43</v>
      </c>
      <c r="N1" s="11" t="s">
        <v>38</v>
      </c>
      <c r="O1" s="11" t="s">
        <v>30</v>
      </c>
      <c r="P1" s="11" t="s">
        <v>51</v>
      </c>
      <c r="Q1" s="11" t="s">
        <v>28</v>
      </c>
      <c r="R1" s="11" t="s">
        <v>31</v>
      </c>
      <c r="S1" s="11" t="s">
        <v>41</v>
      </c>
      <c r="T1" s="11" t="s">
        <v>23</v>
      </c>
      <c r="U1" s="11" t="s">
        <v>40</v>
      </c>
      <c r="V1" s="11" t="s">
        <v>53</v>
      </c>
      <c r="W1" s="11" t="s">
        <v>57</v>
      </c>
      <c r="X1" s="11" t="s">
        <v>33</v>
      </c>
    </row>
    <row r="2" spans="1:24" x14ac:dyDescent="0.35">
      <c r="A2" s="2" t="s">
        <v>33</v>
      </c>
      <c r="B2" s="5">
        <f>VLOOKUP($A2,Sheet2!$A$3:$W$24,Sheet2!B$1,0)</f>
        <v>1</v>
      </c>
      <c r="C2" s="5">
        <f>VLOOKUP($A2,Sheet2!$A$3:$W$24,Sheet2!C$1,0)</f>
        <v>1</v>
      </c>
      <c r="D2" s="5">
        <f>VLOOKUP($A2,Sheet2!$A$3:$W$24,Sheet2!D$1,0)</f>
        <v>1</v>
      </c>
      <c r="E2" s="5" t="str">
        <f>VLOOKUP($A2,Sheet2!$A$3:$W$24,Sheet2!E$1,0)</f>
        <v>N</v>
      </c>
      <c r="F2" s="5">
        <f>VLOOKUP($A2,Sheet2!$A$3:$W$24,Sheet2!F$1,0)</f>
        <v>1</v>
      </c>
      <c r="G2" s="5" t="str">
        <f>VLOOKUP($A2,Sheet2!$A$3:$W$24,Sheet2!G$1,0)</f>
        <v>N</v>
      </c>
      <c r="H2" s="5">
        <f>VLOOKUP($A2,Sheet2!$A$3:$W$24,Sheet2!H$1,0)</f>
        <v>1</v>
      </c>
      <c r="I2" s="5" t="str">
        <f>VLOOKUP($A2,Sheet2!$A$3:$W$24,Sheet2!I$1,0)</f>
        <v>N</v>
      </c>
      <c r="J2" s="5" t="str">
        <f>VLOOKUP($A2,Sheet2!$A$3:$W$24,Sheet2!J$1,0)</f>
        <v>N</v>
      </c>
      <c r="K2" s="5" t="str">
        <f>VLOOKUP($A2,Sheet2!$A$3:$W$24,Sheet2!K$1,0)</f>
        <v>N</v>
      </c>
      <c r="L2" s="5" t="str">
        <f>VLOOKUP($A2,Sheet2!$A$3:$W$24,Sheet2!L$1,0)</f>
        <v>N</v>
      </c>
      <c r="N2" s="5" t="str">
        <f>VLOOKUP($A2,Sheet2!$A$3:$W$24,Sheet2!M$1,0)</f>
        <v>N</v>
      </c>
      <c r="O2" s="5" t="str">
        <f>VLOOKUP($A2,Sheet2!$A$3:$W$24,Sheet2!N$1,0)</f>
        <v>N</v>
      </c>
      <c r="P2" s="5" t="str">
        <f>VLOOKUP($A2,Sheet2!$A$3:$W$24,Sheet2!O$1,0)</f>
        <v>N</v>
      </c>
      <c r="Q2" s="5" t="str">
        <f>VLOOKUP($A2,Sheet2!$A$3:$W$24,Sheet2!P$1,0)</f>
        <v>N</v>
      </c>
      <c r="R2" s="5" t="str">
        <f>VLOOKUP($A2,Sheet2!$A$3:$W$24,Sheet2!Q$1,0)</f>
        <v>N</v>
      </c>
      <c r="S2" s="5" t="str">
        <f>VLOOKUP($A2,Sheet2!$A$3:$W$24,Sheet2!R$1,0)</f>
        <v>N</v>
      </c>
      <c r="T2" s="5" t="str">
        <f>VLOOKUP($A2,Sheet2!$A$3:$W$24,Sheet2!S$1,0)</f>
        <v>N</v>
      </c>
      <c r="U2" s="5" t="str">
        <f>VLOOKUP($A2,Sheet2!$A$3:$W$24,Sheet2!T$1,0)</f>
        <v>N</v>
      </c>
      <c r="V2" s="5" t="str">
        <f>VLOOKUP($A2,Sheet2!$A$3:$W$24,Sheet2!U$1,0)</f>
        <v>N</v>
      </c>
      <c r="W2" s="5" t="str">
        <f>VLOOKUP($A2,Sheet2!$A$3:$W$24,Sheet2!V$1,0)</f>
        <v>N</v>
      </c>
      <c r="X2" s="5">
        <f>VLOOKUP($A2,Sheet2!$A$3:$W$24,Sheet2!W$1,0)</f>
        <v>0</v>
      </c>
    </row>
    <row r="3" spans="1:24" x14ac:dyDescent="0.35">
      <c r="A3" s="2" t="s">
        <v>57</v>
      </c>
      <c r="B3" s="5">
        <f>VLOOKUP($A3,Sheet2!$A$3:$W$24,Sheet2!B$1,0)</f>
        <v>1</v>
      </c>
      <c r="C3" s="5">
        <f>VLOOKUP($A3,Sheet2!$A$3:$W$24,Sheet2!C$1,0)</f>
        <v>1</v>
      </c>
      <c r="D3" s="5">
        <f>VLOOKUP($A3,Sheet2!$A$3:$W$24,Sheet2!D$1,0)</f>
        <v>1</v>
      </c>
      <c r="E3" s="5" t="str">
        <f>VLOOKUP($A3,Sheet2!$A$3:$W$24,Sheet2!E$1,0)</f>
        <v>N</v>
      </c>
      <c r="F3" s="5">
        <f>VLOOKUP($A3,Sheet2!$A$3:$W$24,Sheet2!F$1,0)</f>
        <v>1</v>
      </c>
      <c r="G3" s="5" t="str">
        <f>VLOOKUP($A3,Sheet2!$A$3:$W$24,Sheet2!G$1,0)</f>
        <v>N</v>
      </c>
      <c r="H3" s="5">
        <f>VLOOKUP($A3,Sheet2!$A$3:$W$24,Sheet2!H$1,0)</f>
        <v>1</v>
      </c>
      <c r="I3" s="5" t="str">
        <f>VLOOKUP($A3,Sheet2!$A$3:$W$24,Sheet2!I$1,0)</f>
        <v>N</v>
      </c>
      <c r="J3" s="5" t="str">
        <f>VLOOKUP($A3,Sheet2!$A$3:$W$24,Sheet2!J$1,0)</f>
        <v>N</v>
      </c>
      <c r="K3" s="5" t="str">
        <f>VLOOKUP($A3,Sheet2!$A$3:$W$24,Sheet2!K$1,0)</f>
        <v>N</v>
      </c>
      <c r="L3" s="5" t="str">
        <f>VLOOKUP($A3,Sheet2!$A$3:$W$24,Sheet2!L$1,0)</f>
        <v>N</v>
      </c>
      <c r="N3" s="5" t="str">
        <f>VLOOKUP($A3,Sheet2!$A$3:$W$24,Sheet2!M$1,0)</f>
        <v>N</v>
      </c>
      <c r="O3" s="5" t="str">
        <f>VLOOKUP($A3,Sheet2!$A$3:$W$24,Sheet2!N$1,0)</f>
        <v>N</v>
      </c>
      <c r="P3" s="5" t="str">
        <f>VLOOKUP($A3,Sheet2!$A$3:$W$24,Sheet2!O$1,0)</f>
        <v>N</v>
      </c>
      <c r="Q3" s="5" t="str">
        <f>VLOOKUP($A3,Sheet2!$A$3:$W$24,Sheet2!P$1,0)</f>
        <v>N</v>
      </c>
      <c r="R3" s="5" t="str">
        <f>VLOOKUP($A3,Sheet2!$A$3:$W$24,Sheet2!Q$1,0)</f>
        <v>N</v>
      </c>
      <c r="S3" s="5" t="str">
        <f>VLOOKUP($A3,Sheet2!$A$3:$W$24,Sheet2!R$1,0)</f>
        <v>N</v>
      </c>
      <c r="T3" s="5" t="str">
        <f>VLOOKUP($A3,Sheet2!$A$3:$W$24,Sheet2!S$1,0)</f>
        <v>N</v>
      </c>
      <c r="U3" s="5" t="str">
        <f>VLOOKUP($A3,Sheet2!$A$3:$W$24,Sheet2!T$1,0)</f>
        <v>N</v>
      </c>
      <c r="V3" s="5" t="str">
        <f>VLOOKUP($A3,Sheet2!$A$3:$W$24,Sheet2!U$1,0)</f>
        <v>N</v>
      </c>
      <c r="W3" s="5">
        <f>VLOOKUP($A3,Sheet2!$A$3:$W$24,Sheet2!V$1,0)</f>
        <v>0</v>
      </c>
      <c r="X3" s="5" t="str">
        <f>VLOOKUP($A3,Sheet2!$A$3:$W$24,Sheet2!W$1,0)</f>
        <v>Y</v>
      </c>
    </row>
    <row r="4" spans="1:24" x14ac:dyDescent="0.35">
      <c r="A4" s="2" t="s">
        <v>53</v>
      </c>
      <c r="B4" s="5">
        <f>VLOOKUP($A4,Sheet2!$A$3:$W$24,Sheet2!B$1,0)</f>
        <v>1</v>
      </c>
      <c r="C4" s="5">
        <f>VLOOKUP($A4,Sheet2!$A$3:$W$24,Sheet2!C$1,0)</f>
        <v>1</v>
      </c>
      <c r="D4" s="5">
        <f>VLOOKUP($A4,Sheet2!$A$3:$W$24,Sheet2!D$1,0)</f>
        <v>1</v>
      </c>
      <c r="E4" s="5" t="str">
        <f>VLOOKUP($A4,Sheet2!$A$3:$W$24,Sheet2!E$1,0)</f>
        <v>N</v>
      </c>
      <c r="F4" s="5">
        <f>VLOOKUP($A4,Sheet2!$A$3:$W$24,Sheet2!F$1,0)</f>
        <v>1</v>
      </c>
      <c r="G4" s="5" t="str">
        <f>VLOOKUP($A4,Sheet2!$A$3:$W$24,Sheet2!G$1,0)</f>
        <v>N</v>
      </c>
      <c r="H4" s="5">
        <f>VLOOKUP($A4,Sheet2!$A$3:$W$24,Sheet2!H$1,0)</f>
        <v>1</v>
      </c>
      <c r="I4" s="5" t="str">
        <f>VLOOKUP($A4,Sheet2!$A$3:$W$24,Sheet2!I$1,0)</f>
        <v>N</v>
      </c>
      <c r="J4" s="5" t="str">
        <f>VLOOKUP($A4,Sheet2!$A$3:$W$24,Sheet2!J$1,0)</f>
        <v>N</v>
      </c>
      <c r="K4" s="5" t="str">
        <f>VLOOKUP($A4,Sheet2!$A$3:$W$24,Sheet2!K$1,0)</f>
        <v>N</v>
      </c>
      <c r="L4" s="5" t="str">
        <f>VLOOKUP($A4,Sheet2!$A$3:$W$24,Sheet2!L$1,0)</f>
        <v>N</v>
      </c>
      <c r="N4" s="5" t="str">
        <f>VLOOKUP($A4,Sheet2!$A$3:$W$24,Sheet2!M$1,0)</f>
        <v>N</v>
      </c>
      <c r="O4" s="5" t="str">
        <f>VLOOKUP($A4,Sheet2!$A$3:$W$24,Sheet2!N$1,0)</f>
        <v>N</v>
      </c>
      <c r="P4" s="5" t="str">
        <f>VLOOKUP($A4,Sheet2!$A$3:$W$24,Sheet2!O$1,0)</f>
        <v>N</v>
      </c>
      <c r="Q4" s="5" t="str">
        <f>VLOOKUP($A4,Sheet2!$A$3:$W$24,Sheet2!P$1,0)</f>
        <v>N</v>
      </c>
      <c r="R4" s="5" t="str">
        <f>VLOOKUP($A4,Sheet2!$A$3:$W$24,Sheet2!Q$1,0)</f>
        <v>N</v>
      </c>
      <c r="S4" s="5" t="str">
        <f>VLOOKUP($A4,Sheet2!$A$3:$W$24,Sheet2!R$1,0)</f>
        <v>N</v>
      </c>
      <c r="T4" s="5" t="str">
        <f>VLOOKUP($A4,Sheet2!$A$3:$W$24,Sheet2!S$1,0)</f>
        <v>N</v>
      </c>
      <c r="U4" s="5" t="str">
        <f>VLOOKUP($A4,Sheet2!$A$3:$W$24,Sheet2!T$1,0)</f>
        <v>N</v>
      </c>
      <c r="V4" s="5">
        <f>VLOOKUP($A4,Sheet2!$A$3:$W$24,Sheet2!U$1,0)</f>
        <v>0</v>
      </c>
      <c r="W4" s="5" t="str">
        <f>VLOOKUP($A4,Sheet2!$A$3:$W$24,Sheet2!V$1,0)</f>
        <v>Y</v>
      </c>
      <c r="X4" s="5" t="str">
        <f>VLOOKUP($A4,Sheet2!$A$3:$W$24,Sheet2!W$1,0)</f>
        <v>Y</v>
      </c>
    </row>
    <row r="5" spans="1:24" x14ac:dyDescent="0.35">
      <c r="A5" s="2" t="s">
        <v>40</v>
      </c>
      <c r="B5" s="5">
        <f>VLOOKUP($A5,Sheet2!$A$3:$W$24,Sheet2!B$1,0)</f>
        <v>1</v>
      </c>
      <c r="C5" s="5">
        <f>VLOOKUP($A5,Sheet2!$A$3:$W$24,Sheet2!C$1,0)</f>
        <v>1</v>
      </c>
      <c r="D5" s="5">
        <f>VLOOKUP($A5,Sheet2!$A$3:$W$24,Sheet2!D$1,0)</f>
        <v>1</v>
      </c>
      <c r="E5" s="5" t="str">
        <f>VLOOKUP($A5,Sheet2!$A$3:$W$24,Sheet2!E$1,0)</f>
        <v>N</v>
      </c>
      <c r="F5" s="5">
        <f>VLOOKUP($A5,Sheet2!$A$3:$W$24,Sheet2!F$1,0)</f>
        <v>1</v>
      </c>
      <c r="G5" s="5" t="str">
        <f>VLOOKUP($A5,Sheet2!$A$3:$W$24,Sheet2!G$1,0)</f>
        <v>N</v>
      </c>
      <c r="H5" s="5">
        <f>VLOOKUP($A5,Sheet2!$A$3:$W$24,Sheet2!H$1,0)</f>
        <v>1</v>
      </c>
      <c r="I5" s="5" t="str">
        <f>VLOOKUP($A5,Sheet2!$A$3:$W$24,Sheet2!I$1,0)</f>
        <v>N</v>
      </c>
      <c r="J5" s="5" t="str">
        <f>VLOOKUP($A5,Sheet2!$A$3:$W$24,Sheet2!J$1,0)</f>
        <v>N</v>
      </c>
      <c r="K5" s="5" t="str">
        <f>VLOOKUP($A5,Sheet2!$A$3:$W$24,Sheet2!K$1,0)</f>
        <v>N</v>
      </c>
      <c r="L5" s="5" t="str">
        <f>VLOOKUP($A5,Sheet2!$A$3:$W$24,Sheet2!L$1,0)</f>
        <v>N</v>
      </c>
      <c r="N5" s="5" t="str">
        <f>VLOOKUP($A5,Sheet2!$A$3:$W$24,Sheet2!M$1,0)</f>
        <v>N</v>
      </c>
      <c r="O5" s="5" t="str">
        <f>VLOOKUP($A5,Sheet2!$A$3:$W$24,Sheet2!N$1,0)</f>
        <v>N</v>
      </c>
      <c r="P5" s="5" t="str">
        <f>VLOOKUP($A5,Sheet2!$A$3:$W$24,Sheet2!O$1,0)</f>
        <v>N</v>
      </c>
      <c r="Q5" s="5" t="str">
        <f>VLOOKUP($A5,Sheet2!$A$3:$W$24,Sheet2!P$1,0)</f>
        <v>N</v>
      </c>
      <c r="R5" s="5" t="str">
        <f>VLOOKUP($A5,Sheet2!$A$3:$W$24,Sheet2!Q$1,0)</f>
        <v>N</v>
      </c>
      <c r="S5" s="5" t="str">
        <f>VLOOKUP($A5,Sheet2!$A$3:$W$24,Sheet2!R$1,0)</f>
        <v>N</v>
      </c>
      <c r="T5" s="5" t="str">
        <f>VLOOKUP($A5,Sheet2!$A$3:$W$24,Sheet2!S$1,0)</f>
        <v>N</v>
      </c>
      <c r="U5" s="5">
        <f>VLOOKUP($A5,Sheet2!$A$3:$W$24,Sheet2!T$1,0)</f>
        <v>0</v>
      </c>
      <c r="V5" s="5" t="str">
        <f>VLOOKUP($A5,Sheet2!$A$3:$W$24,Sheet2!U$1,0)</f>
        <v>Y</v>
      </c>
      <c r="W5" s="5" t="str">
        <f>VLOOKUP($A5,Sheet2!$A$3:$W$24,Sheet2!V$1,0)</f>
        <v>Y</v>
      </c>
      <c r="X5" s="5" t="str">
        <f>VLOOKUP($A5,Sheet2!$A$3:$W$24,Sheet2!W$1,0)</f>
        <v>Y</v>
      </c>
    </row>
    <row r="6" spans="1:24" x14ac:dyDescent="0.35">
      <c r="A6" s="2" t="s">
        <v>23</v>
      </c>
      <c r="B6" s="5">
        <f>VLOOKUP($A6,Sheet2!$A$3:$W$24,Sheet2!B$1,0)</f>
        <v>1</v>
      </c>
      <c r="C6" s="5">
        <f>VLOOKUP($A6,Sheet2!$A$3:$W$24,Sheet2!C$1,0)</f>
        <v>1</v>
      </c>
      <c r="D6" s="5">
        <f>VLOOKUP($A6,Sheet2!$A$3:$W$24,Sheet2!D$1,0)</f>
        <v>1</v>
      </c>
      <c r="E6" s="5" t="str">
        <f>VLOOKUP($A6,Sheet2!$A$3:$W$24,Sheet2!E$1,0)</f>
        <v>N</v>
      </c>
      <c r="F6" s="5">
        <f>VLOOKUP($A6,Sheet2!$A$3:$W$24,Sheet2!F$1,0)</f>
        <v>1</v>
      </c>
      <c r="G6" s="5" t="str">
        <f>VLOOKUP($A6,Sheet2!$A$3:$W$24,Sheet2!G$1,0)</f>
        <v>N</v>
      </c>
      <c r="H6" s="5">
        <f>VLOOKUP($A6,Sheet2!$A$3:$W$24,Sheet2!H$1,0)</f>
        <v>1</v>
      </c>
      <c r="I6" s="5" t="str">
        <f>VLOOKUP($A6,Sheet2!$A$3:$W$24,Sheet2!I$1,0)</f>
        <v>N</v>
      </c>
      <c r="J6" s="5" t="str">
        <f>VLOOKUP($A6,Sheet2!$A$3:$W$24,Sheet2!J$1,0)</f>
        <v>N</v>
      </c>
      <c r="K6" s="5" t="str">
        <f>VLOOKUP($A6,Sheet2!$A$3:$W$24,Sheet2!K$1,0)</f>
        <v>N</v>
      </c>
      <c r="L6" s="5" t="str">
        <f>VLOOKUP($A6,Sheet2!$A$3:$W$24,Sheet2!L$1,0)</f>
        <v>N</v>
      </c>
      <c r="N6" s="5" t="str">
        <f>VLOOKUP($A6,Sheet2!$A$3:$W$24,Sheet2!M$1,0)</f>
        <v>N</v>
      </c>
      <c r="O6" s="5" t="str">
        <f>VLOOKUP($A6,Sheet2!$A$3:$W$24,Sheet2!N$1,0)</f>
        <v>N</v>
      </c>
      <c r="P6" s="5" t="str">
        <f>VLOOKUP($A6,Sheet2!$A$3:$W$24,Sheet2!O$1,0)</f>
        <v>N</v>
      </c>
      <c r="Q6" s="5" t="str">
        <f>VLOOKUP($A6,Sheet2!$A$3:$W$24,Sheet2!P$1,0)</f>
        <v>N</v>
      </c>
      <c r="R6" s="5" t="str">
        <f>VLOOKUP($A6,Sheet2!$A$3:$W$24,Sheet2!Q$1,0)</f>
        <v>N</v>
      </c>
      <c r="S6" s="5" t="str">
        <f>VLOOKUP($A6,Sheet2!$A$3:$W$24,Sheet2!R$1,0)</f>
        <v>N</v>
      </c>
      <c r="T6" s="5">
        <f>VLOOKUP($A6,Sheet2!$A$3:$W$24,Sheet2!S$1,0)</f>
        <v>0</v>
      </c>
      <c r="U6" s="5" t="str">
        <f>VLOOKUP($A6,Sheet2!$A$3:$W$24,Sheet2!T$1,0)</f>
        <v>Y</v>
      </c>
      <c r="V6" s="5" t="str">
        <f>VLOOKUP($A6,Sheet2!$A$3:$W$24,Sheet2!U$1,0)</f>
        <v>N</v>
      </c>
      <c r="W6" s="5" t="str">
        <f>VLOOKUP($A6,Sheet2!$A$3:$W$24,Sheet2!V$1,0)</f>
        <v>Y</v>
      </c>
      <c r="X6" s="5" t="str">
        <f>VLOOKUP($A6,Sheet2!$A$3:$W$24,Sheet2!W$1,0)</f>
        <v>Y</v>
      </c>
    </row>
    <row r="7" spans="1:24" x14ac:dyDescent="0.35">
      <c r="A7" s="2" t="s">
        <v>41</v>
      </c>
      <c r="B7" s="5">
        <f>VLOOKUP($A7,Sheet2!$A$3:$W$24,Sheet2!B$1,0)</f>
        <v>1</v>
      </c>
      <c r="C7" s="5">
        <f>VLOOKUP($A7,Sheet2!$A$3:$W$24,Sheet2!C$1,0)</f>
        <v>1</v>
      </c>
      <c r="D7" s="5">
        <f>VLOOKUP($A7,Sheet2!$A$3:$W$24,Sheet2!D$1,0)</f>
        <v>1</v>
      </c>
      <c r="E7" s="5" t="str">
        <f>VLOOKUP($A7,Sheet2!$A$3:$W$24,Sheet2!E$1,0)</f>
        <v>N</v>
      </c>
      <c r="F7" s="5">
        <f>VLOOKUP($A7,Sheet2!$A$3:$W$24,Sheet2!F$1,0)</f>
        <v>1</v>
      </c>
      <c r="G7" s="5" t="str">
        <f>VLOOKUP($A7,Sheet2!$A$3:$W$24,Sheet2!G$1,0)</f>
        <v>N</v>
      </c>
      <c r="H7" s="5">
        <f>VLOOKUP($A7,Sheet2!$A$3:$W$24,Sheet2!H$1,0)</f>
        <v>1</v>
      </c>
      <c r="I7" s="5" t="str">
        <f>VLOOKUP($A7,Sheet2!$A$3:$W$24,Sheet2!I$1,0)</f>
        <v>N</v>
      </c>
      <c r="J7" s="5" t="str">
        <f>VLOOKUP($A7,Sheet2!$A$3:$W$24,Sheet2!J$1,0)</f>
        <v>N</v>
      </c>
      <c r="K7" s="5" t="str">
        <f>VLOOKUP($A7,Sheet2!$A$3:$W$24,Sheet2!K$1,0)</f>
        <v>N</v>
      </c>
      <c r="L7" s="5" t="str">
        <f>VLOOKUP($A7,Sheet2!$A$3:$W$24,Sheet2!L$1,0)</f>
        <v>N</v>
      </c>
      <c r="N7" s="5" t="str">
        <f>VLOOKUP($A7,Sheet2!$A$3:$W$24,Sheet2!M$1,0)</f>
        <v>N</v>
      </c>
      <c r="O7" s="5" t="str">
        <f>VLOOKUP($A7,Sheet2!$A$3:$W$24,Sheet2!N$1,0)</f>
        <v>N</v>
      </c>
      <c r="P7" s="5" t="str">
        <f>VLOOKUP($A7,Sheet2!$A$3:$W$24,Sheet2!O$1,0)</f>
        <v>N</v>
      </c>
      <c r="Q7" s="5" t="str">
        <f>VLOOKUP($A7,Sheet2!$A$3:$W$24,Sheet2!P$1,0)</f>
        <v>N</v>
      </c>
      <c r="R7" s="5" t="str">
        <f>VLOOKUP($A7,Sheet2!$A$3:$W$24,Sheet2!Q$1,0)</f>
        <v>N</v>
      </c>
      <c r="S7" s="5">
        <f>VLOOKUP($A7,Sheet2!$A$3:$W$24,Sheet2!R$1,0)</f>
        <v>0</v>
      </c>
      <c r="T7" s="5" t="str">
        <f>VLOOKUP($A7,Sheet2!$A$3:$W$24,Sheet2!S$1,0)</f>
        <v>N</v>
      </c>
      <c r="U7" s="5" t="str">
        <f>VLOOKUP($A7,Sheet2!$A$3:$W$24,Sheet2!T$1,0)</f>
        <v>Y</v>
      </c>
      <c r="V7" s="5" t="str">
        <f>VLOOKUP($A7,Sheet2!$A$3:$W$24,Sheet2!U$1,0)</f>
        <v>Y</v>
      </c>
      <c r="W7" s="5" t="str">
        <f>VLOOKUP($A7,Sheet2!$A$3:$W$24,Sheet2!V$1,0)</f>
        <v>Y</v>
      </c>
      <c r="X7" s="5" t="str">
        <f>VLOOKUP($A7,Sheet2!$A$3:$W$24,Sheet2!W$1,0)</f>
        <v>Y</v>
      </c>
    </row>
    <row r="8" spans="1:24" x14ac:dyDescent="0.35">
      <c r="A8" s="2" t="s">
        <v>31</v>
      </c>
      <c r="B8" s="5">
        <f>VLOOKUP($A8,Sheet2!$A$3:$W$24,Sheet2!B$1,0)</f>
        <v>1</v>
      </c>
      <c r="C8" s="5">
        <f>VLOOKUP($A8,Sheet2!$A$3:$W$24,Sheet2!C$1,0)</f>
        <v>1</v>
      </c>
      <c r="D8" s="5">
        <f>VLOOKUP($A8,Sheet2!$A$3:$W$24,Sheet2!D$1,0)</f>
        <v>1</v>
      </c>
      <c r="E8" s="5" t="str">
        <f>VLOOKUP($A8,Sheet2!$A$3:$W$24,Sheet2!E$1,0)</f>
        <v>N</v>
      </c>
      <c r="F8" s="5">
        <f>VLOOKUP($A8,Sheet2!$A$3:$W$24,Sheet2!F$1,0)</f>
        <v>1</v>
      </c>
      <c r="G8" s="5" t="str">
        <f>VLOOKUP($A8,Sheet2!$A$3:$W$24,Sheet2!G$1,0)</f>
        <v>N</v>
      </c>
      <c r="H8" s="5">
        <f>VLOOKUP($A8,Sheet2!$A$3:$W$24,Sheet2!H$1,0)</f>
        <v>1</v>
      </c>
      <c r="I8" s="5" t="str">
        <f>VLOOKUP($A8,Sheet2!$A$3:$W$24,Sheet2!I$1,0)</f>
        <v>N</v>
      </c>
      <c r="J8" s="5" t="str">
        <f>VLOOKUP($A8,Sheet2!$A$3:$W$24,Sheet2!J$1,0)</f>
        <v>N</v>
      </c>
      <c r="K8" s="5" t="str">
        <f>VLOOKUP($A8,Sheet2!$A$3:$W$24,Sheet2!K$1,0)</f>
        <v>N</v>
      </c>
      <c r="L8" s="5" t="str">
        <f>VLOOKUP($A8,Sheet2!$A$3:$W$24,Sheet2!L$1,0)</f>
        <v>N</v>
      </c>
      <c r="N8" s="5" t="str">
        <f>VLOOKUP($A8,Sheet2!$A$3:$W$24,Sheet2!M$1,0)</f>
        <v>N</v>
      </c>
      <c r="O8" s="5" t="str">
        <f>VLOOKUP($A8,Sheet2!$A$3:$W$24,Sheet2!N$1,0)</f>
        <v>N</v>
      </c>
      <c r="P8" s="5" t="str">
        <f>VLOOKUP($A8,Sheet2!$A$3:$W$24,Sheet2!O$1,0)</f>
        <v>N</v>
      </c>
      <c r="Q8" s="5" t="str">
        <f>VLOOKUP($A8,Sheet2!$A$3:$W$24,Sheet2!P$1,0)</f>
        <v>N</v>
      </c>
      <c r="R8" s="5">
        <f>VLOOKUP($A8,Sheet2!$A$3:$W$24,Sheet2!Q$1,0)</f>
        <v>0</v>
      </c>
      <c r="S8" s="5" t="str">
        <f>VLOOKUP($A8,Sheet2!$A$3:$W$24,Sheet2!R$1,0)</f>
        <v>Y</v>
      </c>
      <c r="T8" s="5" t="str">
        <f>VLOOKUP($A8,Sheet2!$A$3:$W$24,Sheet2!S$1,0)</f>
        <v>Y</v>
      </c>
      <c r="U8" s="5" t="str">
        <f>VLOOKUP($A8,Sheet2!$A$3:$W$24,Sheet2!T$1,0)</f>
        <v>Y</v>
      </c>
      <c r="V8" s="5" t="str">
        <f>VLOOKUP($A8,Sheet2!$A$3:$W$24,Sheet2!U$1,0)</f>
        <v>Y</v>
      </c>
      <c r="W8" s="5" t="str">
        <f>VLOOKUP($A8,Sheet2!$A$3:$W$24,Sheet2!V$1,0)</f>
        <v>Y</v>
      </c>
      <c r="X8" s="5" t="str">
        <f>VLOOKUP($A8,Sheet2!$A$3:$W$24,Sheet2!W$1,0)</f>
        <v>Y</v>
      </c>
    </row>
    <row r="9" spans="1:24" x14ac:dyDescent="0.35">
      <c r="A9" s="2" t="s">
        <v>28</v>
      </c>
      <c r="B9" s="5">
        <f>VLOOKUP($A9,Sheet2!$A$3:$W$24,Sheet2!B$1,0)</f>
        <v>1</v>
      </c>
      <c r="C9" s="5">
        <f>VLOOKUP($A9,Sheet2!$A$3:$W$24,Sheet2!C$1,0)</f>
        <v>1</v>
      </c>
      <c r="D9" s="5">
        <f>VLOOKUP($A9,Sheet2!$A$3:$W$24,Sheet2!D$1,0)</f>
        <v>1</v>
      </c>
      <c r="E9" s="5" t="str">
        <f>VLOOKUP($A9,Sheet2!$A$3:$W$24,Sheet2!E$1,0)</f>
        <v>N</v>
      </c>
      <c r="F9" s="5">
        <f>VLOOKUP($A9,Sheet2!$A$3:$W$24,Sheet2!F$1,0)</f>
        <v>1</v>
      </c>
      <c r="G9" s="5" t="str">
        <f>VLOOKUP($A9,Sheet2!$A$3:$W$24,Sheet2!G$1,0)</f>
        <v>N</v>
      </c>
      <c r="H9" s="5">
        <f>VLOOKUP($A9,Sheet2!$A$3:$W$24,Sheet2!H$1,0)</f>
        <v>1</v>
      </c>
      <c r="I9" s="5" t="str">
        <f>VLOOKUP($A9,Sheet2!$A$3:$W$24,Sheet2!I$1,0)</f>
        <v>N</v>
      </c>
      <c r="J9" s="5" t="str">
        <f>VLOOKUP($A9,Sheet2!$A$3:$W$24,Sheet2!J$1,0)</f>
        <v>N</v>
      </c>
      <c r="K9" s="5" t="str">
        <f>VLOOKUP($A9,Sheet2!$A$3:$W$24,Sheet2!K$1,0)</f>
        <v>N</v>
      </c>
      <c r="L9" s="5" t="str">
        <f>VLOOKUP($A9,Sheet2!$A$3:$W$24,Sheet2!L$1,0)</f>
        <v>N</v>
      </c>
      <c r="N9" s="5" t="str">
        <f>VLOOKUP($A9,Sheet2!$A$3:$W$24,Sheet2!M$1,0)</f>
        <v>N</v>
      </c>
      <c r="O9" s="5" t="str">
        <f>VLOOKUP($A9,Sheet2!$A$3:$W$24,Sheet2!N$1,0)</f>
        <v>N</v>
      </c>
      <c r="P9" s="5" t="str">
        <f>VLOOKUP($A9,Sheet2!$A$3:$W$24,Sheet2!O$1,0)</f>
        <v>N</v>
      </c>
      <c r="Q9" s="5">
        <f>VLOOKUP($A9,Sheet2!$A$3:$W$24,Sheet2!P$1,0)</f>
        <v>0</v>
      </c>
      <c r="R9" s="5" t="str">
        <f>VLOOKUP($A9,Sheet2!$A$3:$W$24,Sheet2!Q$1,0)</f>
        <v>Y</v>
      </c>
      <c r="S9" s="5" t="str">
        <f>VLOOKUP($A9,Sheet2!$A$3:$W$24,Sheet2!R$1,0)</f>
        <v>Y</v>
      </c>
      <c r="T9" s="5" t="str">
        <f>VLOOKUP($A9,Sheet2!$A$3:$W$24,Sheet2!S$1,0)</f>
        <v>N</v>
      </c>
      <c r="U9" s="5" t="str">
        <f>VLOOKUP($A9,Sheet2!$A$3:$W$24,Sheet2!T$1,0)</f>
        <v>Y</v>
      </c>
      <c r="V9" s="5" t="str">
        <f>VLOOKUP($A9,Sheet2!$A$3:$W$24,Sheet2!U$1,0)</f>
        <v>Y</v>
      </c>
      <c r="W9" s="5" t="str">
        <f>VLOOKUP($A9,Sheet2!$A$3:$W$24,Sheet2!V$1,0)</f>
        <v>Y</v>
      </c>
      <c r="X9" s="5" t="str">
        <f>VLOOKUP($A9,Sheet2!$A$3:$W$24,Sheet2!W$1,0)</f>
        <v>Y</v>
      </c>
    </row>
    <row r="10" spans="1:24" x14ac:dyDescent="0.35">
      <c r="A10" s="2" t="s">
        <v>51</v>
      </c>
      <c r="B10" s="5">
        <f>VLOOKUP($A10,Sheet2!$A$3:$W$24,Sheet2!B$1,0)</f>
        <v>1</v>
      </c>
      <c r="C10" s="5">
        <f>VLOOKUP($A10,Sheet2!$A$3:$W$24,Sheet2!C$1,0)</f>
        <v>1</v>
      </c>
      <c r="D10" s="5">
        <f>VLOOKUP($A10,Sheet2!$A$3:$W$24,Sheet2!D$1,0)</f>
        <v>1</v>
      </c>
      <c r="E10" s="5" t="str">
        <f>VLOOKUP($A10,Sheet2!$A$3:$W$24,Sheet2!E$1,0)</f>
        <v>N</v>
      </c>
      <c r="F10" s="5">
        <f>VLOOKUP($A10,Sheet2!$A$3:$W$24,Sheet2!F$1,0)</f>
        <v>1</v>
      </c>
      <c r="G10" s="5" t="str">
        <f>VLOOKUP($A10,Sheet2!$A$3:$W$24,Sheet2!G$1,0)</f>
        <v>N</v>
      </c>
      <c r="H10" s="5">
        <f>VLOOKUP($A10,Sheet2!$A$3:$W$24,Sheet2!H$1,0)</f>
        <v>1</v>
      </c>
      <c r="I10" s="5" t="str">
        <f>VLOOKUP($A10,Sheet2!$A$3:$W$24,Sheet2!I$1,0)</f>
        <v>N</v>
      </c>
      <c r="J10" s="5" t="str">
        <f>VLOOKUP($A10,Sheet2!$A$3:$W$24,Sheet2!J$1,0)</f>
        <v>N</v>
      </c>
      <c r="K10" s="5" t="str">
        <f>VLOOKUP($A10,Sheet2!$A$3:$W$24,Sheet2!K$1,0)</f>
        <v>N</v>
      </c>
      <c r="L10" s="5" t="str">
        <f>VLOOKUP($A10,Sheet2!$A$3:$W$24,Sheet2!L$1,0)</f>
        <v>N</v>
      </c>
      <c r="N10" s="5" t="str">
        <f>VLOOKUP($A10,Sheet2!$A$3:$W$24,Sheet2!M$1,0)</f>
        <v>N</v>
      </c>
      <c r="O10" s="5" t="str">
        <f>VLOOKUP($A10,Sheet2!$A$3:$W$24,Sheet2!N$1,0)</f>
        <v>N</v>
      </c>
      <c r="P10" s="5">
        <f>VLOOKUP($A10,Sheet2!$A$3:$W$24,Sheet2!O$1,0)</f>
        <v>0</v>
      </c>
      <c r="Q10" s="5" t="str">
        <f>VLOOKUP($A10,Sheet2!$A$3:$W$24,Sheet2!P$1,0)</f>
        <v>Y</v>
      </c>
      <c r="R10" s="5" t="str">
        <f>VLOOKUP($A10,Sheet2!$A$3:$W$24,Sheet2!Q$1,0)</f>
        <v>Y</v>
      </c>
      <c r="S10" s="5" t="str">
        <f>VLOOKUP($A10,Sheet2!$A$3:$W$24,Sheet2!R$1,0)</f>
        <v>Y</v>
      </c>
      <c r="T10" s="5" t="str">
        <f>VLOOKUP($A10,Sheet2!$A$3:$W$24,Sheet2!S$1,0)</f>
        <v>N</v>
      </c>
      <c r="U10" s="5" t="str">
        <f>VLOOKUP($A10,Sheet2!$A$3:$W$24,Sheet2!T$1,0)</f>
        <v>Y</v>
      </c>
      <c r="V10" s="5" t="str">
        <f>VLOOKUP($A10,Sheet2!$A$3:$W$24,Sheet2!U$1,0)</f>
        <v>Y</v>
      </c>
      <c r="W10" s="5" t="str">
        <f>VLOOKUP($A10,Sheet2!$A$3:$W$24,Sheet2!V$1,0)</f>
        <v>Y</v>
      </c>
      <c r="X10" s="5" t="str">
        <f>VLOOKUP($A10,Sheet2!$A$3:$W$24,Sheet2!W$1,0)</f>
        <v>Y</v>
      </c>
    </row>
    <row r="11" spans="1:24" x14ac:dyDescent="0.35">
      <c r="A11" s="2" t="s">
        <v>30</v>
      </c>
      <c r="B11" s="5">
        <f>VLOOKUP($A11,Sheet2!$A$3:$W$24,Sheet2!B$1,0)</f>
        <v>1</v>
      </c>
      <c r="C11" s="5">
        <f>VLOOKUP($A11,Sheet2!$A$3:$W$24,Sheet2!C$1,0)</f>
        <v>1</v>
      </c>
      <c r="D11" s="5">
        <f>VLOOKUP($A11,Sheet2!$A$3:$W$24,Sheet2!D$1,0)</f>
        <v>1</v>
      </c>
      <c r="E11" s="5" t="str">
        <f>VLOOKUP($A11,Sheet2!$A$3:$W$24,Sheet2!E$1,0)</f>
        <v>N</v>
      </c>
      <c r="F11" s="5">
        <f>VLOOKUP($A11,Sheet2!$A$3:$W$24,Sheet2!F$1,0)</f>
        <v>1</v>
      </c>
      <c r="G11" s="5" t="str">
        <f>VLOOKUP($A11,Sheet2!$A$3:$W$24,Sheet2!G$1,0)</f>
        <v>N</v>
      </c>
      <c r="H11" s="5">
        <f>VLOOKUP($A11,Sheet2!$A$3:$W$24,Sheet2!H$1,0)</f>
        <v>1</v>
      </c>
      <c r="I11" s="5" t="str">
        <f>VLOOKUP($A11,Sheet2!$A$3:$W$24,Sheet2!I$1,0)</f>
        <v>N</v>
      </c>
      <c r="J11" s="5" t="str">
        <f>VLOOKUP($A11,Sheet2!$A$3:$W$24,Sheet2!J$1,0)</f>
        <v>N</v>
      </c>
      <c r="K11" s="5" t="str">
        <f>VLOOKUP($A11,Sheet2!$A$3:$W$24,Sheet2!K$1,0)</f>
        <v>N</v>
      </c>
      <c r="L11" s="5" t="str">
        <f>VLOOKUP($A11,Sheet2!$A$3:$W$24,Sheet2!L$1,0)</f>
        <v>N</v>
      </c>
      <c r="N11" s="5" t="str">
        <f>VLOOKUP($A11,Sheet2!$A$3:$W$24,Sheet2!M$1,0)</f>
        <v>N</v>
      </c>
      <c r="O11" s="5">
        <f>VLOOKUP($A11,Sheet2!$A$3:$W$24,Sheet2!N$1,0)</f>
        <v>0</v>
      </c>
      <c r="P11" s="5" t="str">
        <f>VLOOKUP($A11,Sheet2!$A$3:$W$24,Sheet2!O$1,0)</f>
        <v>N</v>
      </c>
      <c r="Q11" s="5" t="str">
        <f>VLOOKUP($A11,Sheet2!$A$3:$W$24,Sheet2!P$1,0)</f>
        <v>Y</v>
      </c>
      <c r="R11" s="5" t="str">
        <f>VLOOKUP($A11,Sheet2!$A$3:$W$24,Sheet2!Q$1,0)</f>
        <v>Y</v>
      </c>
      <c r="S11" s="5" t="str">
        <f>VLOOKUP($A11,Sheet2!$A$3:$W$24,Sheet2!R$1,0)</f>
        <v>Y</v>
      </c>
      <c r="T11" s="5" t="str">
        <f>VLOOKUP($A11,Sheet2!$A$3:$W$24,Sheet2!S$1,0)</f>
        <v>Y</v>
      </c>
      <c r="U11" s="5" t="str">
        <f>VLOOKUP($A11,Sheet2!$A$3:$W$24,Sheet2!T$1,0)</f>
        <v>Y</v>
      </c>
      <c r="V11" s="5" t="str">
        <f>VLOOKUP($A11,Sheet2!$A$3:$W$24,Sheet2!U$1,0)</f>
        <v>Y</v>
      </c>
      <c r="W11" s="5" t="str">
        <f>VLOOKUP($A11,Sheet2!$A$3:$W$24,Sheet2!V$1,0)</f>
        <v>Y</v>
      </c>
      <c r="X11" s="5" t="str">
        <f>VLOOKUP($A11,Sheet2!$A$3:$W$24,Sheet2!W$1,0)</f>
        <v>Y</v>
      </c>
    </row>
    <row r="12" spans="1:24" x14ac:dyDescent="0.35">
      <c r="A12" s="2" t="s">
        <v>38</v>
      </c>
      <c r="B12" s="5">
        <f>VLOOKUP($A12,Sheet2!$A$3:$W$24,Sheet2!B$1,0)</f>
        <v>1</v>
      </c>
      <c r="C12" s="5">
        <f>VLOOKUP($A12,Sheet2!$A$3:$W$24,Sheet2!C$1,0)</f>
        <v>1</v>
      </c>
      <c r="D12" s="5">
        <f>VLOOKUP($A12,Sheet2!$A$3:$W$24,Sheet2!D$1,0)</f>
        <v>1</v>
      </c>
      <c r="E12" s="5" t="str">
        <f>VLOOKUP($A12,Sheet2!$A$3:$W$24,Sheet2!E$1,0)</f>
        <v>N</v>
      </c>
      <c r="F12" s="5">
        <f>VLOOKUP($A12,Sheet2!$A$3:$W$24,Sheet2!F$1,0)</f>
        <v>1</v>
      </c>
      <c r="G12" s="5" t="str">
        <f>VLOOKUP($A12,Sheet2!$A$3:$W$24,Sheet2!G$1,0)</f>
        <v>N</v>
      </c>
      <c r="H12" s="5">
        <f>VLOOKUP($A12,Sheet2!$A$3:$W$24,Sheet2!H$1,0)</f>
        <v>1</v>
      </c>
      <c r="I12" s="5" t="str">
        <f>VLOOKUP($A12,Sheet2!$A$3:$W$24,Sheet2!I$1,0)</f>
        <v>N</v>
      </c>
      <c r="J12" s="5" t="str">
        <f>VLOOKUP($A12,Sheet2!$A$3:$W$24,Sheet2!J$1,0)</f>
        <v>N</v>
      </c>
      <c r="K12" s="5" t="str">
        <f>VLOOKUP($A12,Sheet2!$A$3:$W$24,Sheet2!K$1,0)</f>
        <v>N</v>
      </c>
      <c r="L12" s="5" t="str">
        <f>VLOOKUP($A12,Sheet2!$A$3:$W$24,Sheet2!L$1,0)</f>
        <v>N</v>
      </c>
      <c r="N12" s="5">
        <f>VLOOKUP($A12,Sheet2!$A$3:$W$24,Sheet2!M$1,0)</f>
        <v>0</v>
      </c>
      <c r="O12" s="5" t="str">
        <f>VLOOKUP($A12,Sheet2!$A$3:$W$24,Sheet2!N$1,0)</f>
        <v>Y</v>
      </c>
      <c r="P12" s="5" t="str">
        <f>VLOOKUP($A12,Sheet2!$A$3:$W$24,Sheet2!O$1,0)</f>
        <v>N</v>
      </c>
      <c r="Q12" s="5" t="str">
        <f>VLOOKUP($A12,Sheet2!$A$3:$W$24,Sheet2!P$1,0)</f>
        <v>Y</v>
      </c>
      <c r="R12" s="5" t="str">
        <f>VLOOKUP($A12,Sheet2!$A$3:$W$24,Sheet2!Q$1,0)</f>
        <v>Y</v>
      </c>
      <c r="S12" s="5" t="str">
        <f>VLOOKUP($A12,Sheet2!$A$3:$W$24,Sheet2!R$1,0)</f>
        <v>Y</v>
      </c>
      <c r="T12" s="5" t="str">
        <f>VLOOKUP($A12,Sheet2!$A$3:$W$24,Sheet2!S$1,0)</f>
        <v>Y</v>
      </c>
      <c r="U12" s="5" t="str">
        <f>VLOOKUP($A12,Sheet2!$A$3:$W$24,Sheet2!T$1,0)</f>
        <v>Y</v>
      </c>
      <c r="V12" s="5" t="str">
        <f>VLOOKUP($A12,Sheet2!$A$3:$W$24,Sheet2!U$1,0)</f>
        <v>N</v>
      </c>
      <c r="W12" s="5" t="str">
        <f>VLOOKUP($A12,Sheet2!$A$3:$W$24,Sheet2!V$1,0)</f>
        <v>Y</v>
      </c>
      <c r="X12" s="5" t="str">
        <f>VLOOKUP($A12,Sheet2!$A$3:$W$24,Sheet2!W$1,0)</f>
        <v>Y</v>
      </c>
    </row>
    <row r="13" spans="1:24" x14ac:dyDescent="0.35">
      <c r="A13" s="2" t="s">
        <v>43</v>
      </c>
      <c r="B13" s="5">
        <f>VLOOKUP($A13,Sheet2!$A$3:$W$24,Sheet2!B$1,0)</f>
        <v>1</v>
      </c>
      <c r="C13" s="5">
        <f>VLOOKUP($A13,Sheet2!$A$3:$W$24,Sheet2!C$1,0)</f>
        <v>1</v>
      </c>
      <c r="D13" s="5">
        <f>VLOOKUP($A13,Sheet2!$A$3:$W$24,Sheet2!D$1,0)</f>
        <v>1</v>
      </c>
      <c r="E13" s="5" t="str">
        <f>VLOOKUP($A13,Sheet2!$A$3:$W$24,Sheet2!E$1,0)</f>
        <v>N</v>
      </c>
      <c r="F13" s="5">
        <f>VLOOKUP($A13,Sheet2!$A$3:$W$24,Sheet2!F$1,0)</f>
        <v>1</v>
      </c>
      <c r="G13" s="5" t="str">
        <f>VLOOKUP($A13,Sheet2!$A$3:$W$24,Sheet2!G$1,0)</f>
        <v>N</v>
      </c>
      <c r="H13" s="5">
        <f>VLOOKUP($A13,Sheet2!$A$3:$W$24,Sheet2!H$1,0)</f>
        <v>1</v>
      </c>
      <c r="I13" s="5" t="str">
        <f>VLOOKUP($A13,Sheet2!$A$3:$W$24,Sheet2!I$1,0)</f>
        <v>N</v>
      </c>
      <c r="J13" s="5" t="str">
        <f>VLOOKUP($A13,Sheet2!$A$3:$W$24,Sheet2!J$1,0)</f>
        <v>N</v>
      </c>
      <c r="K13" s="5" t="str">
        <f>VLOOKUP($A13,Sheet2!$A$3:$W$24,Sheet2!K$1,0)</f>
        <v>N</v>
      </c>
      <c r="L13" s="5">
        <f>VLOOKUP($A13,Sheet2!$A$3:$W$24,Sheet2!L$1,0)</f>
        <v>0</v>
      </c>
      <c r="N13" s="5" t="str">
        <f>VLOOKUP($A13,Sheet2!$A$3:$W$24,Sheet2!M$1,0)</f>
        <v>Y</v>
      </c>
      <c r="O13" s="5" t="str">
        <f>VLOOKUP($A13,Sheet2!$A$3:$W$24,Sheet2!N$1,0)</f>
        <v>Y</v>
      </c>
      <c r="P13" s="5" t="str">
        <f>VLOOKUP($A13,Sheet2!$A$3:$W$24,Sheet2!O$1,0)</f>
        <v>N</v>
      </c>
      <c r="Q13" s="5" t="str">
        <f>VLOOKUP($A13,Sheet2!$A$3:$W$24,Sheet2!P$1,0)</f>
        <v>Y</v>
      </c>
      <c r="R13" s="5" t="str">
        <f>VLOOKUP($A13,Sheet2!$A$3:$W$24,Sheet2!Q$1,0)</f>
        <v>Y</v>
      </c>
      <c r="S13" s="5" t="str">
        <f>VLOOKUP($A13,Sheet2!$A$3:$W$24,Sheet2!R$1,0)</f>
        <v>Y</v>
      </c>
      <c r="T13" s="5" t="str">
        <f>VLOOKUP($A13,Sheet2!$A$3:$W$24,Sheet2!S$1,0)</f>
        <v>Y</v>
      </c>
      <c r="U13" s="5" t="str">
        <f>VLOOKUP($A13,Sheet2!$A$3:$W$24,Sheet2!T$1,0)</f>
        <v>Y</v>
      </c>
      <c r="V13" s="5" t="str">
        <f>VLOOKUP($A13,Sheet2!$A$3:$W$24,Sheet2!U$1,0)</f>
        <v>N</v>
      </c>
      <c r="W13" s="5" t="str">
        <f>VLOOKUP($A13,Sheet2!$A$3:$W$24,Sheet2!V$1,0)</f>
        <v>Y</v>
      </c>
      <c r="X13" s="5" t="str">
        <f>VLOOKUP($A13,Sheet2!$A$3:$W$24,Sheet2!W$1,0)</f>
        <v>Y</v>
      </c>
    </row>
    <row r="14" spans="1:24" x14ac:dyDescent="0.35">
      <c r="A14" s="2" t="s">
        <v>50</v>
      </c>
      <c r="B14" s="5">
        <f>VLOOKUP($A14,Sheet2!$A$3:$W$24,Sheet2!B$1,0)</f>
        <v>1</v>
      </c>
      <c r="C14" s="5">
        <f>VLOOKUP($A14,Sheet2!$A$3:$W$24,Sheet2!C$1,0)</f>
        <v>1</v>
      </c>
      <c r="D14" s="5">
        <f>VLOOKUP($A14,Sheet2!$A$3:$W$24,Sheet2!D$1,0)</f>
        <v>1</v>
      </c>
      <c r="E14" s="5" t="str">
        <f>VLOOKUP($A14,Sheet2!$A$3:$W$24,Sheet2!E$1,0)</f>
        <v>N</v>
      </c>
      <c r="F14" s="5">
        <f>VLOOKUP($A14,Sheet2!$A$3:$W$24,Sheet2!F$1,0)</f>
        <v>1</v>
      </c>
      <c r="G14" s="5" t="str">
        <f>VLOOKUP($A14,Sheet2!$A$3:$W$24,Sheet2!G$1,0)</f>
        <v>N</v>
      </c>
      <c r="H14" s="5">
        <f>VLOOKUP($A14,Sheet2!$A$3:$W$24,Sheet2!H$1,0)</f>
        <v>1</v>
      </c>
      <c r="I14" s="5" t="str">
        <f>VLOOKUP($A14,Sheet2!$A$3:$W$24,Sheet2!I$1,0)</f>
        <v>N</v>
      </c>
      <c r="J14" s="5" t="str">
        <f>VLOOKUP($A14,Sheet2!$A$3:$W$24,Sheet2!J$1,0)</f>
        <v>N</v>
      </c>
      <c r="K14" s="5">
        <f>VLOOKUP($A14,Sheet2!$A$3:$W$24,Sheet2!K$1,0)</f>
        <v>0</v>
      </c>
      <c r="L14" s="5" t="str">
        <f>VLOOKUP($A14,Sheet2!$A$3:$W$24,Sheet2!L$1,0)</f>
        <v>Y</v>
      </c>
      <c r="N14" s="5" t="str">
        <f>VLOOKUP($A14,Sheet2!$A$3:$W$24,Sheet2!M$1,0)</f>
        <v>Y</v>
      </c>
      <c r="O14" s="5" t="str">
        <f>VLOOKUP($A14,Sheet2!$A$3:$W$24,Sheet2!N$1,0)</f>
        <v>Y</v>
      </c>
      <c r="P14" s="5" t="str">
        <f>VLOOKUP($A14,Sheet2!$A$3:$W$24,Sheet2!O$1,0)</f>
        <v>N</v>
      </c>
      <c r="Q14" s="5" t="str">
        <f>VLOOKUP($A14,Sheet2!$A$3:$W$24,Sheet2!P$1,0)</f>
        <v>Y</v>
      </c>
      <c r="R14" s="5" t="str">
        <f>VLOOKUP($A14,Sheet2!$A$3:$W$24,Sheet2!Q$1,0)</f>
        <v>Y</v>
      </c>
      <c r="S14" s="5" t="str">
        <f>VLOOKUP($A14,Sheet2!$A$3:$W$24,Sheet2!R$1,0)</f>
        <v>Y</v>
      </c>
      <c r="T14" s="5" t="str">
        <f>VLOOKUP($A14,Sheet2!$A$3:$W$24,Sheet2!S$1,0)</f>
        <v>Y</v>
      </c>
      <c r="U14" s="5" t="str">
        <f>VLOOKUP($A14,Sheet2!$A$3:$W$24,Sheet2!T$1,0)</f>
        <v>Y</v>
      </c>
      <c r="V14" s="5" t="str">
        <f>VLOOKUP($A14,Sheet2!$A$3:$W$24,Sheet2!U$1,0)</f>
        <v>N</v>
      </c>
      <c r="W14" s="5" t="str">
        <f>VLOOKUP($A14,Sheet2!$A$3:$W$24,Sheet2!V$1,0)</f>
        <v>Y</v>
      </c>
      <c r="X14" s="5" t="str">
        <f>VLOOKUP($A14,Sheet2!$A$3:$W$24,Sheet2!W$1,0)</f>
        <v>Y</v>
      </c>
    </row>
    <row r="15" spans="1:24" x14ac:dyDescent="0.35">
      <c r="A15" s="2" t="s">
        <v>52</v>
      </c>
      <c r="B15" s="5">
        <f>VLOOKUP($A15,Sheet2!$A$3:$W$24,Sheet2!B$1,0)</f>
        <v>1</v>
      </c>
      <c r="C15" s="5">
        <f>VLOOKUP($A15,Sheet2!$A$3:$W$24,Sheet2!C$1,0)</f>
        <v>1</v>
      </c>
      <c r="D15" s="5">
        <f>VLOOKUP($A15,Sheet2!$A$3:$W$24,Sheet2!D$1,0)</f>
        <v>1</v>
      </c>
      <c r="E15" s="5" t="str">
        <f>VLOOKUP($A15,Sheet2!$A$3:$W$24,Sheet2!E$1,0)</f>
        <v>N</v>
      </c>
      <c r="F15" s="5">
        <f>VLOOKUP($A15,Sheet2!$A$3:$W$24,Sheet2!F$1,0)</f>
        <v>1</v>
      </c>
      <c r="G15" s="5" t="str">
        <f>VLOOKUP($A15,Sheet2!$A$3:$W$24,Sheet2!G$1,0)</f>
        <v>N</v>
      </c>
      <c r="H15" s="5">
        <f>VLOOKUP($A15,Sheet2!$A$3:$W$24,Sheet2!H$1,0)</f>
        <v>1</v>
      </c>
      <c r="I15" s="5" t="str">
        <f>VLOOKUP($A15,Sheet2!$A$3:$W$24,Sheet2!I$1,0)</f>
        <v>N</v>
      </c>
      <c r="J15" s="5">
        <f>VLOOKUP($A15,Sheet2!$A$3:$W$24,Sheet2!J$1,0)</f>
        <v>0</v>
      </c>
      <c r="K15" s="5" t="str">
        <f>VLOOKUP($A15,Sheet2!$A$3:$W$24,Sheet2!K$1,0)</f>
        <v>N</v>
      </c>
      <c r="L15" s="5" t="str">
        <f>VLOOKUP($A15,Sheet2!$A$3:$W$24,Sheet2!L$1,0)</f>
        <v>N</v>
      </c>
      <c r="N15" s="5" t="str">
        <f>VLOOKUP($A15,Sheet2!$A$3:$W$24,Sheet2!M$1,0)</f>
        <v>N</v>
      </c>
      <c r="O15" s="5" t="str">
        <f>VLOOKUP($A15,Sheet2!$A$3:$W$24,Sheet2!N$1,0)</f>
        <v>N</v>
      </c>
      <c r="P15" s="5" t="str">
        <f>VLOOKUP($A15,Sheet2!$A$3:$W$24,Sheet2!O$1,0)</f>
        <v>Y</v>
      </c>
      <c r="Q15" s="5" t="str">
        <f>VLOOKUP($A15,Sheet2!$A$3:$W$24,Sheet2!P$1,0)</f>
        <v>Y</v>
      </c>
      <c r="R15" s="5" t="str">
        <f>VLOOKUP($A15,Sheet2!$A$3:$W$24,Sheet2!Q$1,0)</f>
        <v>Y</v>
      </c>
      <c r="S15" s="5" t="str">
        <f>VLOOKUP($A15,Sheet2!$A$3:$W$24,Sheet2!R$1,0)</f>
        <v>Y</v>
      </c>
      <c r="T15" s="5" t="str">
        <f>VLOOKUP($A15,Sheet2!$A$3:$W$24,Sheet2!S$1,0)</f>
        <v>N</v>
      </c>
      <c r="U15" s="5" t="str">
        <f>VLOOKUP($A15,Sheet2!$A$3:$W$24,Sheet2!T$1,0)</f>
        <v>Y</v>
      </c>
      <c r="V15" s="5" t="str">
        <f>VLOOKUP($A15,Sheet2!$A$3:$W$24,Sheet2!U$1,0)</f>
        <v>Y</v>
      </c>
      <c r="W15" s="5" t="str">
        <f>VLOOKUP($A15,Sheet2!$A$3:$W$24,Sheet2!V$1,0)</f>
        <v>Y</v>
      </c>
      <c r="X15" s="5" t="str">
        <f>VLOOKUP($A15,Sheet2!$A$3:$W$24,Sheet2!W$1,0)</f>
        <v>Y</v>
      </c>
    </row>
    <row r="16" spans="1:24" x14ac:dyDescent="0.35">
      <c r="A16" s="2" t="s">
        <v>49</v>
      </c>
      <c r="B16" s="5">
        <f>VLOOKUP($A16,Sheet2!$A$3:$W$24,Sheet2!B$1,0)</f>
        <v>1</v>
      </c>
      <c r="C16" s="5">
        <f>VLOOKUP($A16,Sheet2!$A$3:$W$24,Sheet2!C$1,0)</f>
        <v>1</v>
      </c>
      <c r="D16" s="5">
        <f>VLOOKUP($A16,Sheet2!$A$3:$W$24,Sheet2!D$1,0)</f>
        <v>1</v>
      </c>
      <c r="E16" s="5" t="str">
        <f>VLOOKUP($A16,Sheet2!$A$3:$W$24,Sheet2!E$1,0)</f>
        <v>N</v>
      </c>
      <c r="F16" s="5">
        <f>VLOOKUP($A16,Sheet2!$A$3:$W$24,Sheet2!F$1,0)</f>
        <v>1</v>
      </c>
      <c r="G16" s="5" t="str">
        <f>VLOOKUP($A16,Sheet2!$A$3:$W$24,Sheet2!G$1,0)</f>
        <v>N</v>
      </c>
      <c r="H16" s="5">
        <f>VLOOKUP($A16,Sheet2!$A$3:$W$24,Sheet2!H$1,0)</f>
        <v>1</v>
      </c>
      <c r="I16" s="5">
        <f>VLOOKUP($A16,Sheet2!$A$3:$W$24,Sheet2!I$1,0)</f>
        <v>0</v>
      </c>
      <c r="J16" s="5" t="str">
        <f>VLOOKUP($A16,Sheet2!$A$3:$W$24,Sheet2!J$1,0)</f>
        <v>Y</v>
      </c>
      <c r="K16" s="5" t="str">
        <f>VLOOKUP($A16,Sheet2!$A$3:$W$24,Sheet2!K$1,0)</f>
        <v>N</v>
      </c>
      <c r="L16" s="5" t="str">
        <f>VLOOKUP($A16,Sheet2!$A$3:$W$24,Sheet2!L$1,0)</f>
        <v>N</v>
      </c>
      <c r="N16" s="5" t="str">
        <f>VLOOKUP($A16,Sheet2!$A$3:$W$24,Sheet2!M$1,0)</f>
        <v>N</v>
      </c>
      <c r="O16" s="5" t="str">
        <f>VLOOKUP($A16,Sheet2!$A$3:$W$24,Sheet2!N$1,0)</f>
        <v>N</v>
      </c>
      <c r="P16" s="5" t="str">
        <f>VLOOKUP($A16,Sheet2!$A$3:$W$24,Sheet2!O$1,0)</f>
        <v>Y</v>
      </c>
      <c r="Q16" s="5" t="str">
        <f>VLOOKUP($A16,Sheet2!$A$3:$W$24,Sheet2!P$1,0)</f>
        <v>Y</v>
      </c>
      <c r="R16" s="5" t="str">
        <f>VLOOKUP($A16,Sheet2!$A$3:$W$24,Sheet2!Q$1,0)</f>
        <v>Y</v>
      </c>
      <c r="S16" s="5" t="str">
        <f>VLOOKUP($A16,Sheet2!$A$3:$W$24,Sheet2!R$1,0)</f>
        <v>Y</v>
      </c>
      <c r="T16" s="5" t="str">
        <f>VLOOKUP($A16,Sheet2!$A$3:$W$24,Sheet2!S$1,0)</f>
        <v>N</v>
      </c>
      <c r="U16" s="5" t="str">
        <f>VLOOKUP($A16,Sheet2!$A$3:$W$24,Sheet2!T$1,0)</f>
        <v>Y</v>
      </c>
      <c r="V16" s="5" t="str">
        <f>VLOOKUP($A16,Sheet2!$A$3:$W$24,Sheet2!U$1,0)</f>
        <v>Y</v>
      </c>
      <c r="W16" s="5" t="str">
        <f>VLOOKUP($A16,Sheet2!$A$3:$W$24,Sheet2!V$1,0)</f>
        <v>Y</v>
      </c>
      <c r="X16" s="5" t="str">
        <f>VLOOKUP($A16,Sheet2!$A$3:$W$24,Sheet2!W$1,0)</f>
        <v>Y</v>
      </c>
    </row>
    <row r="17" spans="1:24" x14ac:dyDescent="0.35">
      <c r="A17" s="5" t="s">
        <v>56</v>
      </c>
      <c r="B17" s="5">
        <f>VLOOKUP($A17,Sheet2!$A$3:$W$24,Sheet2!B$1,0)</f>
        <v>1</v>
      </c>
      <c r="C17" s="5">
        <f>VLOOKUP($A17,Sheet2!$A$3:$W$24,Sheet2!C$1,0)</f>
        <v>1</v>
      </c>
      <c r="D17" s="5">
        <f>VLOOKUP($A17,Sheet2!$A$3:$W$24,Sheet2!D$1,0)</f>
        <v>1</v>
      </c>
      <c r="E17" s="5">
        <f>VLOOKUP($A17,Sheet2!$A$3:$W$24,Sheet2!E$1,0)</f>
        <v>1</v>
      </c>
      <c r="F17" s="5">
        <f>VLOOKUP($A17,Sheet2!$A$3:$W$24,Sheet2!F$1,0)</f>
        <v>1</v>
      </c>
      <c r="G17" s="5">
        <f>VLOOKUP($A17,Sheet2!$A$3:$W$24,Sheet2!G$1,0)</f>
        <v>1</v>
      </c>
      <c r="H17" s="5">
        <f>VLOOKUP($A17,Sheet2!$A$3:$W$24,Sheet2!H$1,0)</f>
        <v>1</v>
      </c>
      <c r="I17" s="5">
        <f>VLOOKUP($A17,Sheet2!$A$3:$W$24,Sheet2!I$1,0)</f>
        <v>1</v>
      </c>
      <c r="J17" s="5">
        <f>VLOOKUP($A17,Sheet2!$A$3:$W$24,Sheet2!J$1,0)</f>
        <v>1</v>
      </c>
      <c r="K17" s="5">
        <f>VLOOKUP($A17,Sheet2!$A$3:$W$24,Sheet2!K$1,0)</f>
        <v>1</v>
      </c>
      <c r="L17" s="5">
        <f>VLOOKUP($A17,Sheet2!$A$3:$W$24,Sheet2!L$1,0)</f>
        <v>1</v>
      </c>
      <c r="N17" s="5">
        <f>VLOOKUP($A17,Sheet2!$A$3:$W$24,Sheet2!M$1,0)</f>
        <v>1</v>
      </c>
      <c r="O17" s="5">
        <f>VLOOKUP($A17,Sheet2!$A$3:$W$24,Sheet2!N$1,0)</f>
        <v>1</v>
      </c>
      <c r="P17" s="5">
        <f>VLOOKUP($A17,Sheet2!$A$3:$W$24,Sheet2!O$1,0)</f>
        <v>1</v>
      </c>
      <c r="Q17" s="5">
        <f>VLOOKUP($A17,Sheet2!$A$3:$W$24,Sheet2!P$1,0)</f>
        <v>1</v>
      </c>
      <c r="R17" s="5">
        <f>VLOOKUP($A17,Sheet2!$A$3:$W$24,Sheet2!Q$1,0)</f>
        <v>1</v>
      </c>
      <c r="S17" s="5">
        <f>VLOOKUP($A17,Sheet2!$A$3:$W$24,Sheet2!R$1,0)</f>
        <v>1</v>
      </c>
      <c r="T17" s="5">
        <f>VLOOKUP($A17,Sheet2!$A$3:$W$24,Sheet2!S$1,0)</f>
        <v>1</v>
      </c>
      <c r="U17" s="5">
        <f>VLOOKUP($A17,Sheet2!$A$3:$W$24,Sheet2!T$1,0)</f>
        <v>1</v>
      </c>
      <c r="V17" s="5">
        <f>VLOOKUP($A17,Sheet2!$A$3:$W$24,Sheet2!U$1,0)</f>
        <v>1</v>
      </c>
      <c r="W17" s="5">
        <f>VLOOKUP($A17,Sheet2!$A$3:$W$24,Sheet2!V$1,0)</f>
        <v>1</v>
      </c>
      <c r="X17" s="5">
        <f>VLOOKUP($A17,Sheet2!$A$3:$W$24,Sheet2!W$1,0)</f>
        <v>1</v>
      </c>
    </row>
    <row r="18" spans="1:24" x14ac:dyDescent="0.35">
      <c r="A18" s="2" t="s">
        <v>32</v>
      </c>
      <c r="B18" s="5">
        <f>VLOOKUP($A18,Sheet2!$A$3:$W$24,Sheet2!B$1,0)</f>
        <v>1</v>
      </c>
      <c r="C18" s="5">
        <f>VLOOKUP($A18,Sheet2!$A$3:$W$24,Sheet2!C$1,0)</f>
        <v>1</v>
      </c>
      <c r="D18" s="5">
        <f>VLOOKUP($A18,Sheet2!$A$3:$W$24,Sheet2!D$1,0)</f>
        <v>1</v>
      </c>
      <c r="E18" s="5" t="str">
        <f>VLOOKUP($A18,Sheet2!$A$3:$W$24,Sheet2!E$1,0)</f>
        <v>N</v>
      </c>
      <c r="F18" s="5">
        <f>VLOOKUP($A18,Sheet2!$A$3:$W$24,Sheet2!F$1,0)</f>
        <v>1</v>
      </c>
      <c r="G18" s="5">
        <f>VLOOKUP($A18,Sheet2!$A$3:$W$24,Sheet2!G$1,0)</f>
        <v>0</v>
      </c>
      <c r="H18" s="5">
        <f>VLOOKUP($A18,Sheet2!$A$3:$W$24,Sheet2!H$1,0)</f>
        <v>1</v>
      </c>
      <c r="I18" s="5" t="str">
        <f>VLOOKUP($A18,Sheet2!$A$3:$W$24,Sheet2!I$1,0)</f>
        <v>N</v>
      </c>
      <c r="J18" s="5" t="str">
        <f>VLOOKUP($A18,Sheet2!$A$3:$W$24,Sheet2!J$1,0)</f>
        <v>N</v>
      </c>
      <c r="K18" s="5" t="str">
        <f>VLOOKUP($A18,Sheet2!$A$3:$W$24,Sheet2!K$1,0)</f>
        <v>Y</v>
      </c>
      <c r="L18" s="5" t="str">
        <f>VLOOKUP($A18,Sheet2!$A$3:$W$24,Sheet2!L$1,0)</f>
        <v>Y</v>
      </c>
      <c r="N18" s="5" t="str">
        <f>VLOOKUP($A18,Sheet2!$A$3:$W$24,Sheet2!M$1,0)</f>
        <v>Y</v>
      </c>
      <c r="O18" s="5" t="str">
        <f>VLOOKUP($A18,Sheet2!$A$3:$W$24,Sheet2!N$1,0)</f>
        <v>Y</v>
      </c>
      <c r="P18" s="5" t="str">
        <f>VLOOKUP($A18,Sheet2!$A$3:$W$24,Sheet2!O$1,0)</f>
        <v>N</v>
      </c>
      <c r="Q18" s="5" t="str">
        <f>VLOOKUP($A18,Sheet2!$A$3:$W$24,Sheet2!P$1,0)</f>
        <v>Y</v>
      </c>
      <c r="R18" s="5" t="str">
        <f>VLOOKUP($A18,Sheet2!$A$3:$W$24,Sheet2!Q$1,0)</f>
        <v>Y</v>
      </c>
      <c r="S18" s="5" t="str">
        <f>VLOOKUP($A18,Sheet2!$A$3:$W$24,Sheet2!R$1,0)</f>
        <v>Y</v>
      </c>
      <c r="T18" s="5" t="str">
        <f>VLOOKUP($A18,Sheet2!$A$3:$W$24,Sheet2!S$1,0)</f>
        <v>Y</v>
      </c>
      <c r="U18" s="5" t="str">
        <f>VLOOKUP($A18,Sheet2!$A$3:$W$24,Sheet2!T$1,0)</f>
        <v>Y</v>
      </c>
      <c r="V18" s="5" t="str">
        <f>VLOOKUP($A18,Sheet2!$A$3:$W$24,Sheet2!U$1,0)</f>
        <v>N</v>
      </c>
      <c r="W18" s="5" t="str">
        <f>VLOOKUP($A18,Sheet2!$A$3:$W$24,Sheet2!V$1,0)</f>
        <v>Y</v>
      </c>
      <c r="X18" s="5" t="str">
        <f>VLOOKUP($A18,Sheet2!$A$3:$W$24,Sheet2!W$1,0)</f>
        <v>Y</v>
      </c>
    </row>
    <row r="19" spans="1:24" x14ac:dyDescent="0.35">
      <c r="A19" s="6" t="s">
        <v>55</v>
      </c>
      <c r="B19" s="5">
        <f>VLOOKUP($A19,Sheet2!$A$3:$W$24,Sheet2!B$1,0)</f>
        <v>1</v>
      </c>
      <c r="C19" s="5">
        <f>VLOOKUP($A19,Sheet2!$A$3:$W$24,Sheet2!C$1,0)</f>
        <v>1</v>
      </c>
      <c r="D19" s="5">
        <f>VLOOKUP($A19,Sheet2!$A$3:$W$24,Sheet2!D$1,0)</f>
        <v>1</v>
      </c>
      <c r="E19" s="5">
        <f>VLOOKUP($A19,Sheet2!$A$3:$W$24,Sheet2!E$1,0)</f>
        <v>1</v>
      </c>
      <c r="F19" s="5">
        <f>VLOOKUP($A19,Sheet2!$A$3:$W$24,Sheet2!F$1,0)</f>
        <v>1</v>
      </c>
      <c r="G19" s="5">
        <f>VLOOKUP($A19,Sheet2!$A$3:$W$24,Sheet2!G$1,0)</f>
        <v>1</v>
      </c>
      <c r="H19" s="5">
        <f>VLOOKUP($A19,Sheet2!$A$3:$W$24,Sheet2!H$1,0)</f>
        <v>1</v>
      </c>
      <c r="I19" s="5">
        <f>VLOOKUP($A19,Sheet2!$A$3:$W$24,Sheet2!I$1,0)</f>
        <v>1</v>
      </c>
      <c r="J19" s="5">
        <f>VLOOKUP($A19,Sheet2!$A$3:$W$24,Sheet2!J$1,0)</f>
        <v>1</v>
      </c>
      <c r="K19" s="5">
        <f>VLOOKUP($A19,Sheet2!$A$3:$W$24,Sheet2!K$1,0)</f>
        <v>1</v>
      </c>
      <c r="L19" s="5">
        <f>VLOOKUP($A19,Sheet2!$A$3:$W$24,Sheet2!L$1,0)</f>
        <v>1</v>
      </c>
      <c r="N19" s="5">
        <f>VLOOKUP($A19,Sheet2!$A$3:$W$24,Sheet2!M$1,0)</f>
        <v>1</v>
      </c>
      <c r="O19" s="5">
        <f>VLOOKUP($A19,Sheet2!$A$3:$W$24,Sheet2!N$1,0)</f>
        <v>1</v>
      </c>
      <c r="P19" s="5">
        <f>VLOOKUP($A19,Sheet2!$A$3:$W$24,Sheet2!O$1,0)</f>
        <v>1</v>
      </c>
      <c r="Q19" s="5">
        <f>VLOOKUP($A19,Sheet2!$A$3:$W$24,Sheet2!P$1,0)</f>
        <v>1</v>
      </c>
      <c r="R19" s="5">
        <f>VLOOKUP($A19,Sheet2!$A$3:$W$24,Sheet2!Q$1,0)</f>
        <v>1</v>
      </c>
      <c r="S19" s="5">
        <f>VLOOKUP($A19,Sheet2!$A$3:$W$24,Sheet2!R$1,0)</f>
        <v>1</v>
      </c>
      <c r="T19" s="5">
        <f>VLOOKUP($A19,Sheet2!$A$3:$W$24,Sheet2!S$1,0)</f>
        <v>1</v>
      </c>
      <c r="U19" s="5">
        <f>VLOOKUP($A19,Sheet2!$A$3:$W$24,Sheet2!T$1,0)</f>
        <v>1</v>
      </c>
      <c r="V19" s="5">
        <f>VLOOKUP($A19,Sheet2!$A$3:$W$24,Sheet2!U$1,0)</f>
        <v>1</v>
      </c>
      <c r="W19" s="5">
        <f>VLOOKUP($A19,Sheet2!$A$3:$W$24,Sheet2!V$1,0)</f>
        <v>1</v>
      </c>
      <c r="X19" s="5">
        <f>VLOOKUP($A19,Sheet2!$A$3:$W$24,Sheet2!W$1,0)</f>
        <v>1</v>
      </c>
    </row>
    <row r="20" spans="1:24" x14ac:dyDescent="0.35">
      <c r="A20" s="6" t="s">
        <v>26</v>
      </c>
      <c r="B20" s="5">
        <f>VLOOKUP($A20,Sheet2!$A$3:$W$24,Sheet2!B$1,0)</f>
        <v>1</v>
      </c>
      <c r="C20" s="5">
        <f>VLOOKUP($A20,Sheet2!$A$3:$W$24,Sheet2!C$1,0)</f>
        <v>1</v>
      </c>
      <c r="D20" s="5">
        <f>VLOOKUP($A20,Sheet2!$A$3:$W$24,Sheet2!D$1,0)</f>
        <v>1</v>
      </c>
      <c r="E20" s="5">
        <f>VLOOKUP($A20,Sheet2!$A$3:$W$24,Sheet2!E$1,0)</f>
        <v>1</v>
      </c>
      <c r="F20" s="5">
        <f>VLOOKUP($A20,Sheet2!$A$3:$W$24,Sheet2!F$1,0)</f>
        <v>1</v>
      </c>
      <c r="G20" s="5">
        <f>VLOOKUP($A20,Sheet2!$A$3:$W$24,Sheet2!G$1,0)</f>
        <v>1</v>
      </c>
      <c r="H20" s="5">
        <f>VLOOKUP($A20,Sheet2!$A$3:$W$24,Sheet2!H$1,0)</f>
        <v>1</v>
      </c>
      <c r="I20" s="5">
        <f>VLOOKUP($A20,Sheet2!$A$3:$W$24,Sheet2!I$1,0)</f>
        <v>1</v>
      </c>
      <c r="J20" s="5">
        <f>VLOOKUP($A20,Sheet2!$A$3:$W$24,Sheet2!J$1,0)</f>
        <v>1</v>
      </c>
      <c r="K20" s="5">
        <f>VLOOKUP($A20,Sheet2!$A$3:$W$24,Sheet2!K$1,0)</f>
        <v>1</v>
      </c>
      <c r="L20" s="5">
        <f>VLOOKUP($A20,Sheet2!$A$3:$W$24,Sheet2!L$1,0)</f>
        <v>1</v>
      </c>
      <c r="N20" s="5">
        <f>VLOOKUP($A20,Sheet2!$A$3:$W$24,Sheet2!M$1,0)</f>
        <v>1</v>
      </c>
      <c r="O20" s="5">
        <f>VLOOKUP($A20,Sheet2!$A$3:$W$24,Sheet2!N$1,0)</f>
        <v>1</v>
      </c>
      <c r="P20" s="5">
        <f>VLOOKUP($A20,Sheet2!$A$3:$W$24,Sheet2!O$1,0)</f>
        <v>1</v>
      </c>
      <c r="Q20" s="5">
        <f>VLOOKUP($A20,Sheet2!$A$3:$W$24,Sheet2!P$1,0)</f>
        <v>1</v>
      </c>
      <c r="R20" s="5">
        <f>VLOOKUP($A20,Sheet2!$A$3:$W$24,Sheet2!Q$1,0)</f>
        <v>1</v>
      </c>
      <c r="S20" s="5">
        <f>VLOOKUP($A20,Sheet2!$A$3:$W$24,Sheet2!R$1,0)</f>
        <v>1</v>
      </c>
      <c r="T20" s="5">
        <f>VLOOKUP($A20,Sheet2!$A$3:$W$24,Sheet2!S$1,0)</f>
        <v>1</v>
      </c>
      <c r="U20" s="5">
        <f>VLOOKUP($A20,Sheet2!$A$3:$W$24,Sheet2!T$1,0)</f>
        <v>1</v>
      </c>
      <c r="V20" s="5">
        <f>VLOOKUP($A20,Sheet2!$A$3:$W$24,Sheet2!U$1,0)</f>
        <v>1</v>
      </c>
      <c r="W20" s="5">
        <f>VLOOKUP($A20,Sheet2!$A$3:$W$24,Sheet2!V$1,0)</f>
        <v>1</v>
      </c>
      <c r="X20" s="5">
        <f>VLOOKUP($A20,Sheet2!$A$3:$W$24,Sheet2!W$1,0)</f>
        <v>1</v>
      </c>
    </row>
    <row r="21" spans="1:24" x14ac:dyDescent="0.35">
      <c r="A21" s="2" t="s">
        <v>35</v>
      </c>
      <c r="B21" s="5">
        <f>VLOOKUP($A21,Sheet2!$A$3:$W$24,Sheet2!B$1,0)</f>
        <v>1</v>
      </c>
      <c r="C21" s="5">
        <f>VLOOKUP($A21,Sheet2!$A$3:$W$24,Sheet2!C$1,0)</f>
        <v>1</v>
      </c>
      <c r="D21" s="5">
        <f>VLOOKUP($A21,Sheet2!$A$3:$W$24,Sheet2!D$1,0)</f>
        <v>1</v>
      </c>
      <c r="E21" s="5" t="str">
        <f>VLOOKUP($A21,Sheet2!$A$3:$W$24,Sheet2!E$1,0)</f>
        <v>N</v>
      </c>
      <c r="F21" s="5">
        <f>VLOOKUP($A21,Sheet2!$A$3:$W$24,Sheet2!F$1,0)</f>
        <v>1</v>
      </c>
      <c r="G21" s="5" t="str">
        <f>VLOOKUP($A21,Sheet2!$A$3:$W$24,Sheet2!G$1,0)</f>
        <v>N</v>
      </c>
      <c r="H21" s="5">
        <f>VLOOKUP($A21,Sheet2!$A$3:$W$24,Sheet2!H$1,0)</f>
        <v>1</v>
      </c>
      <c r="I21" s="5" t="str">
        <f>VLOOKUP($A21,Sheet2!$A$3:$W$24,Sheet2!I$1,0)</f>
        <v>N</v>
      </c>
      <c r="J21" s="5" t="str">
        <f>VLOOKUP($A21,Sheet2!$A$3:$W$24,Sheet2!J$1,0)</f>
        <v>N</v>
      </c>
      <c r="K21" s="5" t="str">
        <f>VLOOKUP($A21,Sheet2!$A$3:$W$24,Sheet2!K$1,0)</f>
        <v>N</v>
      </c>
      <c r="L21" s="5" t="str">
        <f>VLOOKUP($A21,Sheet2!$A$3:$W$24,Sheet2!L$1,0)</f>
        <v>N</v>
      </c>
      <c r="N21" s="5" t="str">
        <f>VLOOKUP($A21,Sheet2!$A$3:$W$24,Sheet2!M$1,0)</f>
        <v>Y</v>
      </c>
      <c r="O21" s="5" t="str">
        <f>VLOOKUP($A21,Sheet2!$A$3:$W$24,Sheet2!N$1,0)</f>
        <v>N</v>
      </c>
      <c r="P21" s="5" t="str">
        <f>VLOOKUP($A21,Sheet2!$A$3:$W$24,Sheet2!O$1,0)</f>
        <v>Y</v>
      </c>
      <c r="Q21" s="5" t="str">
        <f>VLOOKUP($A21,Sheet2!$A$3:$W$24,Sheet2!P$1,0)</f>
        <v>Y</v>
      </c>
      <c r="R21" s="5" t="str">
        <f>VLOOKUP($A21,Sheet2!$A$3:$W$24,Sheet2!Q$1,0)</f>
        <v>Y</v>
      </c>
      <c r="S21" s="5" t="str">
        <f>VLOOKUP($A21,Sheet2!$A$3:$W$24,Sheet2!R$1,0)</f>
        <v>N</v>
      </c>
      <c r="T21" s="5" t="str">
        <f>VLOOKUP($A21,Sheet2!$A$3:$W$24,Sheet2!S$1,0)</f>
        <v>Y</v>
      </c>
      <c r="U21" s="5" t="str">
        <f>VLOOKUP($A21,Sheet2!$A$3:$W$24,Sheet2!T$1,0)</f>
        <v>N</v>
      </c>
      <c r="V21" s="5" t="str">
        <f>VLOOKUP($A21,Sheet2!$A$3:$W$24,Sheet2!U$1,0)</f>
        <v>Y</v>
      </c>
      <c r="W21" s="5" t="str">
        <f>VLOOKUP($A21,Sheet2!$A$3:$W$24,Sheet2!V$1,0)</f>
        <v>Y</v>
      </c>
      <c r="X21" s="5">
        <f>VLOOKUP($A21,Sheet2!$A$3:$W$24,Sheet2!W$1,0)</f>
        <v>0</v>
      </c>
    </row>
    <row r="22" spans="1:24" x14ac:dyDescent="0.35">
      <c r="A22" s="2" t="s">
        <v>27</v>
      </c>
      <c r="B22" s="5">
        <f>VLOOKUP($A22,Sheet2!$A$3:$W$24,Sheet2!B$1,0)</f>
        <v>1</v>
      </c>
      <c r="C22" s="5">
        <f>VLOOKUP($A22,Sheet2!$A$3:$W$24,Sheet2!C$1,0)</f>
        <v>1</v>
      </c>
      <c r="D22" s="5">
        <f>VLOOKUP($A22,Sheet2!$A$3:$W$24,Sheet2!D$1,0)</f>
        <v>1</v>
      </c>
      <c r="E22" s="5">
        <f>VLOOKUP($A22,Sheet2!$A$3:$W$24,Sheet2!E$1,0)</f>
        <v>1</v>
      </c>
      <c r="F22" s="5">
        <f>VLOOKUP($A22,Sheet2!$A$3:$W$24,Sheet2!F$1,0)</f>
        <v>1</v>
      </c>
      <c r="G22" s="5">
        <f>VLOOKUP($A22,Sheet2!$A$3:$W$24,Sheet2!G$1,0)</f>
        <v>1</v>
      </c>
      <c r="H22" s="5">
        <f>VLOOKUP($A22,Sheet2!$A$3:$W$24,Sheet2!H$1,0)</f>
        <v>1</v>
      </c>
      <c r="I22" s="5">
        <f>VLOOKUP($A22,Sheet2!$A$3:$W$24,Sheet2!I$1,0)</f>
        <v>1</v>
      </c>
      <c r="J22" s="5">
        <f>VLOOKUP($A22,Sheet2!$A$3:$W$24,Sheet2!J$1,0)</f>
        <v>1</v>
      </c>
      <c r="K22" s="5">
        <f>VLOOKUP($A22,Sheet2!$A$3:$W$24,Sheet2!K$1,0)</f>
        <v>1</v>
      </c>
      <c r="L22" s="5">
        <f>VLOOKUP($A22,Sheet2!$A$3:$W$24,Sheet2!L$1,0)</f>
        <v>1</v>
      </c>
      <c r="N22" s="5">
        <f>VLOOKUP($A22,Sheet2!$A$3:$W$24,Sheet2!M$1,0)</f>
        <v>1</v>
      </c>
      <c r="O22" s="5">
        <f>VLOOKUP($A22,Sheet2!$A$3:$W$24,Sheet2!N$1,0)</f>
        <v>1</v>
      </c>
      <c r="P22" s="5">
        <f>VLOOKUP($A22,Sheet2!$A$3:$W$24,Sheet2!O$1,0)</f>
        <v>1</v>
      </c>
      <c r="Q22" s="5">
        <f>VLOOKUP($A22,Sheet2!$A$3:$W$24,Sheet2!P$1,0)</f>
        <v>1</v>
      </c>
      <c r="R22" s="5">
        <f>VLOOKUP($A22,Sheet2!$A$3:$W$24,Sheet2!Q$1,0)</f>
        <v>1</v>
      </c>
      <c r="S22" s="5">
        <f>VLOOKUP($A22,Sheet2!$A$3:$W$24,Sheet2!R$1,0)</f>
        <v>1</v>
      </c>
      <c r="T22" s="5">
        <f>VLOOKUP($A22,Sheet2!$A$3:$W$24,Sheet2!S$1,0)</f>
        <v>1</v>
      </c>
      <c r="U22" s="5">
        <f>VLOOKUP($A22,Sheet2!$A$3:$W$24,Sheet2!T$1,0)</f>
        <v>1</v>
      </c>
      <c r="V22" s="5">
        <f>VLOOKUP($A22,Sheet2!$A$3:$W$24,Sheet2!U$1,0)</f>
        <v>1</v>
      </c>
      <c r="W22" s="5">
        <f>VLOOKUP($A22,Sheet2!$A$3:$W$24,Sheet2!V$1,0)</f>
        <v>1</v>
      </c>
      <c r="X22" s="5">
        <f>VLOOKUP($A22,Sheet2!$A$3:$W$24,Sheet2!W$1,0)</f>
        <v>1</v>
      </c>
    </row>
    <row r="23" spans="1:24" x14ac:dyDescent="0.35">
      <c r="A23" s="6" t="s">
        <v>54</v>
      </c>
      <c r="B23" s="5">
        <f>VLOOKUP($A23,Sheet2!$A$3:$W$24,Sheet2!B$1,0)</f>
        <v>1</v>
      </c>
      <c r="C23" s="5">
        <f>VLOOKUP($A23,Sheet2!$A$3:$W$24,Sheet2!C$1,0)</f>
        <v>1</v>
      </c>
      <c r="D23" s="5">
        <f>VLOOKUP($A23,Sheet2!$A$3:$W$24,Sheet2!D$1,0)</f>
        <v>1</v>
      </c>
      <c r="E23" s="5">
        <f>VLOOKUP($A23,Sheet2!$A$3:$W$24,Sheet2!E$1,0)</f>
        <v>1</v>
      </c>
      <c r="F23" s="5">
        <f>VLOOKUP($A23,Sheet2!$A$3:$W$24,Sheet2!F$1,0)</f>
        <v>1</v>
      </c>
      <c r="G23" s="5">
        <f>VLOOKUP($A23,Sheet2!$A$3:$W$24,Sheet2!G$1,0)</f>
        <v>1</v>
      </c>
      <c r="H23" s="5">
        <f>VLOOKUP($A23,Sheet2!$A$3:$W$24,Sheet2!H$1,0)</f>
        <v>1</v>
      </c>
      <c r="I23" s="5">
        <f>VLOOKUP($A23,Sheet2!$A$3:$W$24,Sheet2!I$1,0)</f>
        <v>1</v>
      </c>
      <c r="J23" s="5">
        <f>VLOOKUP($A23,Sheet2!$A$3:$W$24,Sheet2!J$1,0)</f>
        <v>1</v>
      </c>
      <c r="K23" s="5">
        <f>VLOOKUP($A23,Sheet2!$A$3:$W$24,Sheet2!K$1,0)</f>
        <v>1</v>
      </c>
      <c r="L23" s="5">
        <f>VLOOKUP($A23,Sheet2!$A$3:$W$24,Sheet2!L$1,0)</f>
        <v>1</v>
      </c>
      <c r="N23" s="5">
        <f>VLOOKUP($A23,Sheet2!$A$3:$W$24,Sheet2!M$1,0)</f>
        <v>1</v>
      </c>
      <c r="O23" s="5">
        <f>VLOOKUP($A23,Sheet2!$A$3:$W$24,Sheet2!N$1,0)</f>
        <v>1</v>
      </c>
      <c r="P23" s="5">
        <f>VLOOKUP($A23,Sheet2!$A$3:$W$24,Sheet2!O$1,0)</f>
        <v>1</v>
      </c>
      <c r="Q23" s="5">
        <f>VLOOKUP($A23,Sheet2!$A$3:$W$24,Sheet2!P$1,0)</f>
        <v>1</v>
      </c>
      <c r="R23" s="5">
        <f>VLOOKUP($A23,Sheet2!$A$3:$W$24,Sheet2!Q$1,0)</f>
        <v>1</v>
      </c>
      <c r="S23" s="5">
        <f>VLOOKUP($A23,Sheet2!$A$3:$W$24,Sheet2!R$1,0)</f>
        <v>1</v>
      </c>
      <c r="T23" s="5">
        <f>VLOOKUP($A23,Sheet2!$A$3:$W$24,Sheet2!S$1,0)</f>
        <v>1</v>
      </c>
      <c r="U23" s="5">
        <f>VLOOKUP($A23,Sheet2!$A$3:$W$24,Sheet2!T$1,0)</f>
        <v>1</v>
      </c>
      <c r="V23" s="5">
        <f>VLOOKUP($A23,Sheet2!$A$3:$W$24,Sheet2!U$1,0)</f>
        <v>1</v>
      </c>
      <c r="W23" s="5">
        <f>VLOOKUP($A23,Sheet2!$A$3:$W$24,Sheet2!V$1,0)</f>
        <v>1</v>
      </c>
      <c r="X23" s="5">
        <f>VLOOKUP($A23,Sheet2!$A$3:$W$24,Sheet2!W$1,0)</f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58D1-2129-447D-AF43-8D95F5AF3AC1}">
  <dimension ref="A1:Z49"/>
  <sheetViews>
    <sheetView workbookViewId="0">
      <pane xSplit="1" ySplit="2" topLeftCell="B11" activePane="bottomRight" state="frozen"/>
      <selection pane="topRight" activeCell="A27" sqref="A27:X50"/>
      <selection pane="bottomLeft" activeCell="A27" sqref="A27:X50"/>
      <selection pane="bottomRight" activeCell="A27" sqref="A27:X50"/>
    </sheetView>
  </sheetViews>
  <sheetFormatPr defaultRowHeight="14.5" x14ac:dyDescent="0.35"/>
  <cols>
    <col min="1" max="1" width="27.90625" customWidth="1"/>
  </cols>
  <sheetData>
    <row r="1" spans="1:26" x14ac:dyDescent="0.35">
      <c r="B1">
        <v>2</v>
      </c>
      <c r="C1">
        <f>B1+1</f>
        <v>3</v>
      </c>
      <c r="D1">
        <f t="shared" ref="D1:W1" si="0">C1+1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</row>
    <row r="2" spans="1:26" ht="58" x14ac:dyDescent="0.35">
      <c r="A2" s="11"/>
      <c r="B2" s="11" t="s">
        <v>26</v>
      </c>
      <c r="C2" s="11" t="s">
        <v>54</v>
      </c>
      <c r="D2" s="2" t="s">
        <v>27</v>
      </c>
      <c r="E2" s="11" t="s">
        <v>35</v>
      </c>
      <c r="F2" s="11" t="s">
        <v>55</v>
      </c>
      <c r="G2" s="11" t="s">
        <v>32</v>
      </c>
      <c r="H2" s="11" t="s">
        <v>56</v>
      </c>
      <c r="I2" s="11" t="s">
        <v>49</v>
      </c>
      <c r="J2" s="11" t="s">
        <v>52</v>
      </c>
      <c r="K2" s="11" t="s">
        <v>50</v>
      </c>
      <c r="L2" s="11" t="s">
        <v>43</v>
      </c>
      <c r="M2" s="11" t="s">
        <v>38</v>
      </c>
      <c r="N2" s="11" t="s">
        <v>30</v>
      </c>
      <c r="O2" s="11" t="s">
        <v>51</v>
      </c>
      <c r="P2" s="11" t="s">
        <v>28</v>
      </c>
      <c r="Q2" s="11" t="s">
        <v>31</v>
      </c>
      <c r="R2" s="11" t="s">
        <v>41</v>
      </c>
      <c r="S2" s="11" t="s">
        <v>23</v>
      </c>
      <c r="T2" s="11" t="s">
        <v>40</v>
      </c>
      <c r="U2" s="11" t="s">
        <v>53</v>
      </c>
      <c r="V2" s="11" t="s">
        <v>57</v>
      </c>
      <c r="W2" s="11" t="s">
        <v>33</v>
      </c>
    </row>
    <row r="3" spans="1:26" x14ac:dyDescent="0.35">
      <c r="A3" s="2" t="s">
        <v>33</v>
      </c>
      <c r="B3" s="2">
        <v>1</v>
      </c>
      <c r="C3" s="2">
        <v>1</v>
      </c>
      <c r="D3" s="2">
        <v>1</v>
      </c>
      <c r="E3" s="3" t="s">
        <v>18</v>
      </c>
      <c r="F3" s="3">
        <v>1</v>
      </c>
      <c r="G3" s="3" t="s">
        <v>18</v>
      </c>
      <c r="H3" s="3">
        <v>1</v>
      </c>
      <c r="I3" s="3" t="s">
        <v>18</v>
      </c>
      <c r="J3" s="3" t="s">
        <v>18</v>
      </c>
      <c r="K3" s="3" t="s">
        <v>18</v>
      </c>
      <c r="L3" s="3" t="s">
        <v>18</v>
      </c>
      <c r="M3" s="3" t="s">
        <v>18</v>
      </c>
      <c r="N3" s="3" t="s">
        <v>18</v>
      </c>
      <c r="O3" s="3" t="s">
        <v>18</v>
      </c>
      <c r="P3" s="3" t="s">
        <v>18</v>
      </c>
      <c r="Q3" s="3" t="s">
        <v>18</v>
      </c>
      <c r="R3" s="3" t="s">
        <v>18</v>
      </c>
      <c r="S3" s="3" t="s">
        <v>18</v>
      </c>
      <c r="T3" s="3" t="s">
        <v>18</v>
      </c>
      <c r="U3" s="3" t="s">
        <v>18</v>
      </c>
      <c r="V3" s="3" t="s">
        <v>18</v>
      </c>
      <c r="W3" s="9"/>
      <c r="Z3" s="2" t="s">
        <v>33</v>
      </c>
    </row>
    <row r="4" spans="1:26" x14ac:dyDescent="0.35">
      <c r="A4" s="2" t="s">
        <v>57</v>
      </c>
      <c r="B4" s="2">
        <v>1</v>
      </c>
      <c r="C4" s="2">
        <v>1</v>
      </c>
      <c r="D4" s="2">
        <v>1</v>
      </c>
      <c r="E4" s="3" t="s">
        <v>18</v>
      </c>
      <c r="F4" s="3">
        <v>1</v>
      </c>
      <c r="G4" s="3" t="s">
        <v>18</v>
      </c>
      <c r="H4" s="3">
        <v>1</v>
      </c>
      <c r="I4" s="3" t="s">
        <v>18</v>
      </c>
      <c r="J4" s="3" t="s">
        <v>18</v>
      </c>
      <c r="K4" s="3" t="s">
        <v>18</v>
      </c>
      <c r="L4" s="3" t="s">
        <v>18</v>
      </c>
      <c r="M4" s="3" t="s">
        <v>18</v>
      </c>
      <c r="N4" s="3" t="s">
        <v>18</v>
      </c>
      <c r="O4" s="3" t="s">
        <v>18</v>
      </c>
      <c r="P4" s="3" t="s">
        <v>18</v>
      </c>
      <c r="Q4" s="3" t="s">
        <v>18</v>
      </c>
      <c r="R4" s="3" t="s">
        <v>18</v>
      </c>
      <c r="S4" s="3" t="s">
        <v>18</v>
      </c>
      <c r="T4" s="3" t="s">
        <v>18</v>
      </c>
      <c r="U4" s="3" t="s">
        <v>18</v>
      </c>
      <c r="V4" s="9"/>
      <c r="W4" s="3" t="s">
        <v>19</v>
      </c>
      <c r="Z4" s="2" t="s">
        <v>34</v>
      </c>
    </row>
    <row r="5" spans="1:26" x14ac:dyDescent="0.35">
      <c r="A5" s="2" t="s">
        <v>53</v>
      </c>
      <c r="B5" s="2">
        <v>1</v>
      </c>
      <c r="C5" s="2">
        <v>1</v>
      </c>
      <c r="D5" s="2">
        <v>1</v>
      </c>
      <c r="E5" s="3" t="s">
        <v>18</v>
      </c>
      <c r="F5" s="3">
        <v>1</v>
      </c>
      <c r="G5" s="3" t="s">
        <v>18</v>
      </c>
      <c r="H5" s="3">
        <v>1</v>
      </c>
      <c r="I5" s="3" t="s">
        <v>18</v>
      </c>
      <c r="J5" s="3" t="s">
        <v>18</v>
      </c>
      <c r="K5" s="3" t="s">
        <v>18</v>
      </c>
      <c r="L5" s="3" t="s">
        <v>18</v>
      </c>
      <c r="M5" s="3" t="s">
        <v>18</v>
      </c>
      <c r="N5" s="3" t="s">
        <v>18</v>
      </c>
      <c r="O5" s="3" t="s">
        <v>18</v>
      </c>
      <c r="P5" s="3" t="s">
        <v>18</v>
      </c>
      <c r="Q5" s="3" t="s">
        <v>18</v>
      </c>
      <c r="R5" s="3" t="s">
        <v>18</v>
      </c>
      <c r="S5" s="3" t="s">
        <v>18</v>
      </c>
      <c r="T5" s="3" t="s">
        <v>18</v>
      </c>
      <c r="U5" s="9"/>
      <c r="V5" s="3" t="s">
        <v>19</v>
      </c>
      <c r="W5" s="3" t="s">
        <v>19</v>
      </c>
      <c r="Z5" s="2" t="s">
        <v>53</v>
      </c>
    </row>
    <row r="6" spans="1:26" x14ac:dyDescent="0.35">
      <c r="A6" s="2" t="s">
        <v>40</v>
      </c>
      <c r="B6" s="2">
        <v>1</v>
      </c>
      <c r="C6" s="2">
        <v>1</v>
      </c>
      <c r="D6" s="2">
        <v>1</v>
      </c>
      <c r="E6" s="3" t="s">
        <v>18</v>
      </c>
      <c r="F6" s="3">
        <v>1</v>
      </c>
      <c r="G6" s="3" t="s">
        <v>18</v>
      </c>
      <c r="H6" s="3">
        <v>1</v>
      </c>
      <c r="I6" s="3" t="s">
        <v>18</v>
      </c>
      <c r="J6" s="3" t="s">
        <v>18</v>
      </c>
      <c r="K6" s="3" t="s">
        <v>18</v>
      </c>
      <c r="L6" s="3" t="s">
        <v>18</v>
      </c>
      <c r="M6" s="3" t="s">
        <v>18</v>
      </c>
      <c r="N6" s="3" t="s">
        <v>18</v>
      </c>
      <c r="O6" s="3" t="s">
        <v>18</v>
      </c>
      <c r="P6" s="3" t="s">
        <v>18</v>
      </c>
      <c r="Q6" s="3" t="s">
        <v>18</v>
      </c>
      <c r="R6" s="3" t="s">
        <v>18</v>
      </c>
      <c r="S6" s="3" t="s">
        <v>18</v>
      </c>
      <c r="T6" s="9"/>
      <c r="U6" s="3" t="s">
        <v>19</v>
      </c>
      <c r="V6" s="3" t="s">
        <v>19</v>
      </c>
      <c r="W6" s="3" t="s">
        <v>19</v>
      </c>
      <c r="Z6" s="2" t="s">
        <v>40</v>
      </c>
    </row>
    <row r="7" spans="1:26" x14ac:dyDescent="0.35">
      <c r="A7" s="2" t="s">
        <v>23</v>
      </c>
      <c r="B7" s="2">
        <v>1</v>
      </c>
      <c r="C7" s="2">
        <v>1</v>
      </c>
      <c r="D7" s="2">
        <v>1</v>
      </c>
      <c r="E7" s="3" t="s">
        <v>18</v>
      </c>
      <c r="F7" s="3">
        <v>1</v>
      </c>
      <c r="G7" s="3" t="s">
        <v>18</v>
      </c>
      <c r="H7" s="3">
        <v>1</v>
      </c>
      <c r="I7" s="3" t="s">
        <v>18</v>
      </c>
      <c r="J7" s="3" t="s">
        <v>18</v>
      </c>
      <c r="K7" s="3" t="s">
        <v>18</v>
      </c>
      <c r="L7" s="3" t="s">
        <v>18</v>
      </c>
      <c r="M7" s="3" t="s">
        <v>18</v>
      </c>
      <c r="N7" s="3" t="s">
        <v>18</v>
      </c>
      <c r="O7" s="3" t="s">
        <v>18</v>
      </c>
      <c r="P7" s="3" t="s">
        <v>18</v>
      </c>
      <c r="Q7" s="3" t="s">
        <v>18</v>
      </c>
      <c r="R7" s="3" t="s">
        <v>18</v>
      </c>
      <c r="S7" s="9"/>
      <c r="T7" s="3" t="s">
        <v>19</v>
      </c>
      <c r="U7" s="3" t="s">
        <v>18</v>
      </c>
      <c r="V7" s="3" t="s">
        <v>19</v>
      </c>
      <c r="W7" s="3" t="s">
        <v>19</v>
      </c>
      <c r="Z7" s="2" t="s">
        <v>23</v>
      </c>
    </row>
    <row r="8" spans="1:26" x14ac:dyDescent="0.35">
      <c r="A8" s="2" t="s">
        <v>41</v>
      </c>
      <c r="B8" s="2">
        <v>1</v>
      </c>
      <c r="C8" s="2">
        <v>1</v>
      </c>
      <c r="D8" s="2">
        <v>1</v>
      </c>
      <c r="E8" s="3" t="s">
        <v>18</v>
      </c>
      <c r="F8" s="3">
        <v>1</v>
      </c>
      <c r="G8" s="3" t="s">
        <v>18</v>
      </c>
      <c r="H8" s="3">
        <v>1</v>
      </c>
      <c r="I8" s="3" t="s">
        <v>18</v>
      </c>
      <c r="J8" s="3" t="s">
        <v>18</v>
      </c>
      <c r="K8" s="3" t="s">
        <v>18</v>
      </c>
      <c r="L8" s="3" t="s">
        <v>18</v>
      </c>
      <c r="M8" s="3" t="s">
        <v>18</v>
      </c>
      <c r="N8" s="3" t="s">
        <v>18</v>
      </c>
      <c r="O8" s="3" t="s">
        <v>18</v>
      </c>
      <c r="P8" s="3" t="s">
        <v>18</v>
      </c>
      <c r="Q8" s="3" t="s">
        <v>18</v>
      </c>
      <c r="R8" s="9"/>
      <c r="S8" s="3" t="s">
        <v>18</v>
      </c>
      <c r="T8" s="3" t="s">
        <v>19</v>
      </c>
      <c r="U8" s="3" t="s">
        <v>19</v>
      </c>
      <c r="V8" s="3" t="s">
        <v>19</v>
      </c>
      <c r="W8" s="3" t="s">
        <v>19</v>
      </c>
      <c r="Z8" s="2" t="s">
        <v>41</v>
      </c>
    </row>
    <row r="9" spans="1:26" x14ac:dyDescent="0.35">
      <c r="A9" s="2" t="s">
        <v>31</v>
      </c>
      <c r="B9" s="2">
        <v>1</v>
      </c>
      <c r="C9" s="2">
        <v>1</v>
      </c>
      <c r="D9" s="2">
        <v>1</v>
      </c>
      <c r="E9" s="3" t="s">
        <v>18</v>
      </c>
      <c r="F9" s="3">
        <v>1</v>
      </c>
      <c r="G9" s="3" t="s">
        <v>18</v>
      </c>
      <c r="H9" s="3">
        <v>1</v>
      </c>
      <c r="I9" s="3" t="s">
        <v>18</v>
      </c>
      <c r="J9" s="3" t="s">
        <v>18</v>
      </c>
      <c r="K9" s="3" t="s">
        <v>18</v>
      </c>
      <c r="L9" s="3" t="s">
        <v>18</v>
      </c>
      <c r="M9" s="3" t="s">
        <v>18</v>
      </c>
      <c r="N9" s="3" t="s">
        <v>18</v>
      </c>
      <c r="O9" s="3" t="s">
        <v>18</v>
      </c>
      <c r="P9" s="3" t="s">
        <v>18</v>
      </c>
      <c r="Q9" s="9"/>
      <c r="R9" s="3" t="s">
        <v>19</v>
      </c>
      <c r="S9" s="3" t="s">
        <v>19</v>
      </c>
      <c r="T9" s="3" t="s">
        <v>19</v>
      </c>
      <c r="U9" s="3" t="s">
        <v>19</v>
      </c>
      <c r="V9" s="3" t="s">
        <v>19</v>
      </c>
      <c r="W9" s="3" t="s">
        <v>19</v>
      </c>
      <c r="Z9" s="7" t="s">
        <v>31</v>
      </c>
    </row>
    <row r="10" spans="1:26" x14ac:dyDescent="0.35">
      <c r="A10" s="2" t="s">
        <v>28</v>
      </c>
      <c r="B10" s="2">
        <v>1</v>
      </c>
      <c r="C10" s="2">
        <v>1</v>
      </c>
      <c r="D10" s="2">
        <v>1</v>
      </c>
      <c r="E10" s="3" t="s">
        <v>18</v>
      </c>
      <c r="F10" s="3">
        <v>1</v>
      </c>
      <c r="G10" s="3" t="s">
        <v>18</v>
      </c>
      <c r="H10" s="3">
        <v>1</v>
      </c>
      <c r="I10" s="3" t="s">
        <v>18</v>
      </c>
      <c r="J10" s="3" t="s">
        <v>18</v>
      </c>
      <c r="K10" s="3" t="s">
        <v>18</v>
      </c>
      <c r="L10" s="3" t="s">
        <v>18</v>
      </c>
      <c r="M10" s="3" t="s">
        <v>18</v>
      </c>
      <c r="N10" s="3" t="s">
        <v>18</v>
      </c>
      <c r="O10" s="3" t="s">
        <v>18</v>
      </c>
      <c r="P10" s="9"/>
      <c r="Q10" s="3" t="s">
        <v>19</v>
      </c>
      <c r="R10" s="3" t="s">
        <v>19</v>
      </c>
      <c r="S10" s="3" t="s">
        <v>18</v>
      </c>
      <c r="T10" s="3" t="s">
        <v>19</v>
      </c>
      <c r="U10" s="3" t="s">
        <v>19</v>
      </c>
      <c r="V10" s="3" t="s">
        <v>19</v>
      </c>
      <c r="W10" s="3" t="s">
        <v>19</v>
      </c>
      <c r="Z10" s="5" t="s">
        <v>28</v>
      </c>
    </row>
    <row r="11" spans="1:26" x14ac:dyDescent="0.35">
      <c r="A11" s="2" t="s">
        <v>51</v>
      </c>
      <c r="B11" s="2">
        <v>1</v>
      </c>
      <c r="C11" s="2">
        <v>1</v>
      </c>
      <c r="D11" s="2">
        <v>1</v>
      </c>
      <c r="E11" s="3" t="s">
        <v>18</v>
      </c>
      <c r="F11" s="3">
        <v>1</v>
      </c>
      <c r="G11" s="3" t="s">
        <v>18</v>
      </c>
      <c r="H11" s="3">
        <v>1</v>
      </c>
      <c r="I11" s="3" t="s">
        <v>18</v>
      </c>
      <c r="J11" s="3" t="s">
        <v>18</v>
      </c>
      <c r="K11" s="3" t="s">
        <v>18</v>
      </c>
      <c r="L11" s="3" t="s">
        <v>18</v>
      </c>
      <c r="M11" s="3" t="s">
        <v>18</v>
      </c>
      <c r="N11" s="3" t="s">
        <v>18</v>
      </c>
      <c r="O11" s="9"/>
      <c r="P11" s="3" t="s">
        <v>19</v>
      </c>
      <c r="Q11" s="3" t="s">
        <v>19</v>
      </c>
      <c r="R11" s="3" t="s">
        <v>19</v>
      </c>
      <c r="S11" s="3" t="s">
        <v>18</v>
      </c>
      <c r="T11" s="3" t="s">
        <v>19</v>
      </c>
      <c r="U11" s="3" t="s">
        <v>19</v>
      </c>
      <c r="V11" s="3" t="s">
        <v>19</v>
      </c>
      <c r="W11" s="3" t="s">
        <v>19</v>
      </c>
      <c r="Z11" s="5" t="s">
        <v>51</v>
      </c>
    </row>
    <row r="12" spans="1:26" x14ac:dyDescent="0.35">
      <c r="A12" s="2" t="s">
        <v>30</v>
      </c>
      <c r="B12" s="2">
        <v>1</v>
      </c>
      <c r="C12" s="2">
        <v>1</v>
      </c>
      <c r="D12" s="2">
        <v>1</v>
      </c>
      <c r="E12" s="3" t="s">
        <v>18</v>
      </c>
      <c r="F12" s="3">
        <v>1</v>
      </c>
      <c r="G12" s="3" t="s">
        <v>18</v>
      </c>
      <c r="H12" s="3">
        <v>1</v>
      </c>
      <c r="I12" s="3" t="s">
        <v>18</v>
      </c>
      <c r="J12" s="3" t="s">
        <v>18</v>
      </c>
      <c r="K12" s="3" t="s">
        <v>18</v>
      </c>
      <c r="L12" s="3" t="s">
        <v>18</v>
      </c>
      <c r="M12" s="3" t="s">
        <v>18</v>
      </c>
      <c r="N12" s="9"/>
      <c r="O12" s="3" t="s">
        <v>18</v>
      </c>
      <c r="P12" s="3" t="s">
        <v>19</v>
      </c>
      <c r="Q12" s="3" t="s">
        <v>19</v>
      </c>
      <c r="R12" s="3" t="s">
        <v>19</v>
      </c>
      <c r="S12" s="3" t="s">
        <v>19</v>
      </c>
      <c r="T12" s="3" t="s">
        <v>19</v>
      </c>
      <c r="U12" s="3" t="s">
        <v>19</v>
      </c>
      <c r="V12" s="3" t="s">
        <v>19</v>
      </c>
      <c r="W12" s="3" t="s">
        <v>19</v>
      </c>
      <c r="Z12" s="5" t="s">
        <v>30</v>
      </c>
    </row>
    <row r="13" spans="1:26" x14ac:dyDescent="0.35">
      <c r="A13" s="2" t="s">
        <v>38</v>
      </c>
      <c r="B13" s="2">
        <v>1</v>
      </c>
      <c r="C13" s="2">
        <v>1</v>
      </c>
      <c r="D13" s="2">
        <v>1</v>
      </c>
      <c r="E13" s="3" t="s">
        <v>18</v>
      </c>
      <c r="F13" s="3">
        <v>1</v>
      </c>
      <c r="G13" s="3" t="s">
        <v>18</v>
      </c>
      <c r="H13" s="3">
        <v>1</v>
      </c>
      <c r="I13" s="3" t="s">
        <v>18</v>
      </c>
      <c r="J13" s="3" t="s">
        <v>18</v>
      </c>
      <c r="K13" s="3" t="s">
        <v>18</v>
      </c>
      <c r="L13" s="3" t="s">
        <v>18</v>
      </c>
      <c r="M13" s="9"/>
      <c r="N13" s="3" t="s">
        <v>19</v>
      </c>
      <c r="O13" s="3" t="s">
        <v>18</v>
      </c>
      <c r="P13" s="3" t="s">
        <v>19</v>
      </c>
      <c r="Q13" s="3" t="s">
        <v>19</v>
      </c>
      <c r="R13" s="3" t="s">
        <v>19</v>
      </c>
      <c r="S13" s="3" t="s">
        <v>19</v>
      </c>
      <c r="T13" s="3" t="s">
        <v>19</v>
      </c>
      <c r="U13" s="3" t="s">
        <v>18</v>
      </c>
      <c r="V13" s="3" t="s">
        <v>19</v>
      </c>
      <c r="W13" s="3" t="s">
        <v>19</v>
      </c>
      <c r="Z13" s="5" t="s">
        <v>38</v>
      </c>
    </row>
    <row r="14" spans="1:26" x14ac:dyDescent="0.35">
      <c r="A14" s="2" t="s">
        <v>43</v>
      </c>
      <c r="B14" s="2">
        <v>1</v>
      </c>
      <c r="C14" s="2">
        <v>1</v>
      </c>
      <c r="D14" s="2">
        <v>1</v>
      </c>
      <c r="E14" s="3" t="s">
        <v>18</v>
      </c>
      <c r="F14" s="3">
        <v>1</v>
      </c>
      <c r="G14" s="3" t="s">
        <v>18</v>
      </c>
      <c r="H14" s="3">
        <v>1</v>
      </c>
      <c r="I14" s="3" t="s">
        <v>18</v>
      </c>
      <c r="J14" s="3" t="s">
        <v>18</v>
      </c>
      <c r="K14" s="3" t="s">
        <v>18</v>
      </c>
      <c r="L14" s="9"/>
      <c r="M14" s="3" t="s">
        <v>19</v>
      </c>
      <c r="N14" s="3" t="s">
        <v>19</v>
      </c>
      <c r="O14" s="3" t="s">
        <v>18</v>
      </c>
      <c r="P14" s="3" t="s">
        <v>19</v>
      </c>
      <c r="Q14" s="3" t="s">
        <v>19</v>
      </c>
      <c r="R14" s="3" t="s">
        <v>19</v>
      </c>
      <c r="S14" s="3" t="s">
        <v>19</v>
      </c>
      <c r="T14" s="3" t="s">
        <v>19</v>
      </c>
      <c r="U14" s="3" t="s">
        <v>18</v>
      </c>
      <c r="V14" s="3" t="s">
        <v>19</v>
      </c>
      <c r="W14" s="3" t="s">
        <v>19</v>
      </c>
      <c r="Z14" s="5" t="s">
        <v>43</v>
      </c>
    </row>
    <row r="15" spans="1:26" x14ac:dyDescent="0.35">
      <c r="A15" s="2" t="s">
        <v>50</v>
      </c>
      <c r="B15" s="2">
        <v>1</v>
      </c>
      <c r="C15" s="2">
        <v>1</v>
      </c>
      <c r="D15" s="2">
        <v>1</v>
      </c>
      <c r="E15" s="3" t="s">
        <v>18</v>
      </c>
      <c r="F15" s="3">
        <v>1</v>
      </c>
      <c r="G15" s="3" t="s">
        <v>18</v>
      </c>
      <c r="H15" s="3">
        <v>1</v>
      </c>
      <c r="I15" s="3" t="s">
        <v>18</v>
      </c>
      <c r="J15" s="3" t="s">
        <v>18</v>
      </c>
      <c r="K15" s="9"/>
      <c r="L15" s="3" t="s">
        <v>19</v>
      </c>
      <c r="M15" s="3" t="s">
        <v>19</v>
      </c>
      <c r="N15" s="3" t="s">
        <v>19</v>
      </c>
      <c r="O15" s="3" t="s">
        <v>18</v>
      </c>
      <c r="P15" s="3" t="s">
        <v>19</v>
      </c>
      <c r="Q15" s="3" t="s">
        <v>19</v>
      </c>
      <c r="R15" s="3" t="s">
        <v>19</v>
      </c>
      <c r="S15" s="3" t="s">
        <v>19</v>
      </c>
      <c r="T15" s="3" t="s">
        <v>19</v>
      </c>
      <c r="U15" s="3" t="s">
        <v>18</v>
      </c>
      <c r="V15" s="3" t="s">
        <v>19</v>
      </c>
      <c r="W15" s="3" t="s">
        <v>19</v>
      </c>
      <c r="Z15" s="5" t="s">
        <v>50</v>
      </c>
    </row>
    <row r="16" spans="1:26" x14ac:dyDescent="0.35">
      <c r="A16" s="2" t="s">
        <v>52</v>
      </c>
      <c r="B16" s="2">
        <v>1</v>
      </c>
      <c r="C16" s="2">
        <v>1</v>
      </c>
      <c r="D16" s="2">
        <v>1</v>
      </c>
      <c r="E16" s="3" t="s">
        <v>18</v>
      </c>
      <c r="F16" s="3">
        <v>1</v>
      </c>
      <c r="G16" s="3" t="s">
        <v>18</v>
      </c>
      <c r="H16" s="3">
        <v>1</v>
      </c>
      <c r="I16" s="3" t="s">
        <v>18</v>
      </c>
      <c r="J16" s="9"/>
      <c r="K16" s="3" t="s">
        <v>18</v>
      </c>
      <c r="L16" s="3" t="s">
        <v>18</v>
      </c>
      <c r="M16" s="3" t="s">
        <v>18</v>
      </c>
      <c r="N16" s="3" t="s">
        <v>18</v>
      </c>
      <c r="O16" s="3" t="s">
        <v>19</v>
      </c>
      <c r="P16" s="3" t="s">
        <v>19</v>
      </c>
      <c r="Q16" s="3" t="s">
        <v>19</v>
      </c>
      <c r="R16" s="3" t="s">
        <v>19</v>
      </c>
      <c r="S16" s="3" t="s">
        <v>18</v>
      </c>
      <c r="T16" s="3" t="s">
        <v>19</v>
      </c>
      <c r="U16" s="3" t="s">
        <v>19</v>
      </c>
      <c r="V16" s="3" t="s">
        <v>19</v>
      </c>
      <c r="W16" s="3" t="s">
        <v>19</v>
      </c>
      <c r="Z16" s="5" t="s">
        <v>52</v>
      </c>
    </row>
    <row r="17" spans="1:26" x14ac:dyDescent="0.35">
      <c r="A17" s="2" t="s">
        <v>49</v>
      </c>
      <c r="B17" s="2">
        <v>1</v>
      </c>
      <c r="C17" s="2">
        <v>1</v>
      </c>
      <c r="D17" s="2">
        <v>1</v>
      </c>
      <c r="E17" s="3" t="s">
        <v>18</v>
      </c>
      <c r="F17" s="3">
        <v>1</v>
      </c>
      <c r="G17" s="3" t="s">
        <v>18</v>
      </c>
      <c r="H17" s="3">
        <v>1</v>
      </c>
      <c r="I17" s="9"/>
      <c r="J17" s="3" t="s">
        <v>19</v>
      </c>
      <c r="K17" s="3" t="s">
        <v>18</v>
      </c>
      <c r="L17" s="3" t="s">
        <v>18</v>
      </c>
      <c r="M17" s="3" t="s">
        <v>18</v>
      </c>
      <c r="N17" s="3" t="s">
        <v>18</v>
      </c>
      <c r="O17" s="3" t="s">
        <v>19</v>
      </c>
      <c r="P17" s="3" t="s">
        <v>19</v>
      </c>
      <c r="Q17" s="3" t="s">
        <v>19</v>
      </c>
      <c r="R17" s="3" t="s">
        <v>19</v>
      </c>
      <c r="S17" s="3" t="s">
        <v>18</v>
      </c>
      <c r="T17" s="3" t="s">
        <v>19</v>
      </c>
      <c r="U17" s="3" t="s">
        <v>19</v>
      </c>
      <c r="V17" s="3" t="s">
        <v>19</v>
      </c>
      <c r="W17" s="3" t="s">
        <v>19</v>
      </c>
      <c r="Z17" s="7" t="s">
        <v>49</v>
      </c>
    </row>
    <row r="18" spans="1:26" x14ac:dyDescent="0.35">
      <c r="A18" s="5" t="s">
        <v>56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>
        <v>1</v>
      </c>
      <c r="L18" s="2">
        <v>1</v>
      </c>
      <c r="M18" s="2">
        <v>1</v>
      </c>
      <c r="N18" s="2">
        <v>1</v>
      </c>
      <c r="O18" s="2">
        <v>1</v>
      </c>
      <c r="P18" s="2">
        <v>1</v>
      </c>
      <c r="Q18" s="2">
        <v>1</v>
      </c>
      <c r="R18" s="2">
        <v>1</v>
      </c>
      <c r="S18" s="2">
        <v>1</v>
      </c>
      <c r="T18" s="2">
        <v>1</v>
      </c>
      <c r="U18" s="2">
        <v>1</v>
      </c>
      <c r="V18" s="2">
        <v>1</v>
      </c>
      <c r="W18" s="2">
        <v>1</v>
      </c>
      <c r="Z18" s="5" t="s">
        <v>24</v>
      </c>
    </row>
    <row r="19" spans="1:26" x14ac:dyDescent="0.35">
      <c r="A19" s="2" t="s">
        <v>32</v>
      </c>
      <c r="B19" s="2">
        <v>1</v>
      </c>
      <c r="C19" s="2">
        <v>1</v>
      </c>
      <c r="D19" s="2">
        <v>1</v>
      </c>
      <c r="E19" s="3" t="s">
        <v>18</v>
      </c>
      <c r="F19" s="3">
        <v>1</v>
      </c>
      <c r="G19" s="9"/>
      <c r="H19" s="3">
        <v>1</v>
      </c>
      <c r="I19" s="3" t="s">
        <v>18</v>
      </c>
      <c r="J19" s="3" t="s">
        <v>18</v>
      </c>
      <c r="K19" s="3" t="s">
        <v>19</v>
      </c>
      <c r="L19" s="3" t="s">
        <v>19</v>
      </c>
      <c r="M19" s="3" t="s">
        <v>19</v>
      </c>
      <c r="N19" s="3" t="s">
        <v>19</v>
      </c>
      <c r="O19" s="3" t="s">
        <v>18</v>
      </c>
      <c r="P19" s="3" t="s">
        <v>19</v>
      </c>
      <c r="Q19" s="3" t="s">
        <v>19</v>
      </c>
      <c r="R19" s="3" t="s">
        <v>19</v>
      </c>
      <c r="S19" s="3" t="s">
        <v>19</v>
      </c>
      <c r="T19" s="3" t="s">
        <v>19</v>
      </c>
      <c r="U19" s="3" t="s">
        <v>18</v>
      </c>
      <c r="V19" s="3" t="s">
        <v>19</v>
      </c>
      <c r="W19" s="3" t="s">
        <v>19</v>
      </c>
      <c r="Z19" s="5" t="s">
        <v>32</v>
      </c>
    </row>
    <row r="20" spans="1:26" x14ac:dyDescent="0.35">
      <c r="A20" s="6" t="s">
        <v>55</v>
      </c>
      <c r="B20" s="2">
        <v>1</v>
      </c>
      <c r="C20" s="2">
        <v>1</v>
      </c>
      <c r="D20" s="2">
        <v>1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>
        <v>1</v>
      </c>
      <c r="L20" s="2">
        <v>1</v>
      </c>
      <c r="M20" s="2">
        <v>1</v>
      </c>
      <c r="N20" s="2">
        <v>1</v>
      </c>
      <c r="O20" s="2">
        <v>1</v>
      </c>
      <c r="P20" s="2">
        <v>1</v>
      </c>
      <c r="Q20" s="2">
        <v>1</v>
      </c>
      <c r="R20" s="2">
        <v>1</v>
      </c>
      <c r="S20" s="2">
        <v>1</v>
      </c>
      <c r="T20" s="2">
        <v>1</v>
      </c>
      <c r="U20" s="2">
        <v>1</v>
      </c>
      <c r="V20" s="2">
        <v>1</v>
      </c>
      <c r="W20" s="2">
        <v>1</v>
      </c>
      <c r="Z20" s="6" t="s">
        <v>25</v>
      </c>
    </row>
    <row r="21" spans="1:26" x14ac:dyDescent="0.35">
      <c r="A21" s="2" t="s">
        <v>35</v>
      </c>
      <c r="B21" s="2">
        <v>1</v>
      </c>
      <c r="C21" s="2">
        <v>1</v>
      </c>
      <c r="D21" s="2">
        <v>1</v>
      </c>
      <c r="E21" s="3" t="s">
        <v>18</v>
      </c>
      <c r="F21" s="3">
        <v>1</v>
      </c>
      <c r="G21" s="3" t="s">
        <v>18</v>
      </c>
      <c r="H21" s="3">
        <v>1</v>
      </c>
      <c r="I21" s="3" t="s">
        <v>18</v>
      </c>
      <c r="J21" s="3" t="s">
        <v>18</v>
      </c>
      <c r="K21" s="3" t="s">
        <v>18</v>
      </c>
      <c r="L21" s="3" t="s">
        <v>18</v>
      </c>
      <c r="M21" s="3" t="s">
        <v>19</v>
      </c>
      <c r="N21" s="3" t="s">
        <v>18</v>
      </c>
      <c r="O21" s="3" t="s">
        <v>19</v>
      </c>
      <c r="P21" s="3" t="s">
        <v>19</v>
      </c>
      <c r="Q21" s="3" t="s">
        <v>19</v>
      </c>
      <c r="R21" s="3" t="s">
        <v>18</v>
      </c>
      <c r="S21" s="3" t="s">
        <v>19</v>
      </c>
      <c r="T21" s="3" t="s">
        <v>18</v>
      </c>
      <c r="U21" s="3" t="s">
        <v>19</v>
      </c>
      <c r="V21" s="3" t="s">
        <v>19</v>
      </c>
      <c r="Z21" s="6" t="s">
        <v>35</v>
      </c>
    </row>
    <row r="22" spans="1:26" ht="15.75" customHeight="1" x14ac:dyDescent="0.35">
      <c r="A22" s="2" t="s">
        <v>27</v>
      </c>
      <c r="B22" s="2">
        <v>1</v>
      </c>
      <c r="C22" s="2">
        <v>1</v>
      </c>
      <c r="D22" s="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Z22" s="2" t="s">
        <v>27</v>
      </c>
    </row>
    <row r="23" spans="1:26" x14ac:dyDescent="0.35">
      <c r="A23" s="6" t="s">
        <v>54</v>
      </c>
      <c r="B23" s="2">
        <v>1</v>
      </c>
      <c r="C23" s="2">
        <v>1</v>
      </c>
      <c r="D23" s="2">
        <v>1</v>
      </c>
      <c r="E23" s="2">
        <v>1</v>
      </c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1</v>
      </c>
      <c r="L23" s="2">
        <v>1</v>
      </c>
      <c r="M23" s="2">
        <v>1</v>
      </c>
      <c r="N23" s="2">
        <v>1</v>
      </c>
      <c r="O23" s="2">
        <v>1</v>
      </c>
      <c r="P23" s="2">
        <v>1</v>
      </c>
      <c r="Q23" s="2">
        <v>1</v>
      </c>
      <c r="R23" s="2">
        <v>1</v>
      </c>
      <c r="S23" s="2">
        <v>1</v>
      </c>
      <c r="T23" s="2">
        <v>1</v>
      </c>
      <c r="U23" s="2">
        <v>1</v>
      </c>
      <c r="V23" s="2">
        <v>1</v>
      </c>
      <c r="W23" s="2">
        <v>1</v>
      </c>
      <c r="Z23" s="8" t="s">
        <v>42</v>
      </c>
    </row>
    <row r="24" spans="1:26" x14ac:dyDescent="0.35">
      <c r="A24" s="6" t="s">
        <v>26</v>
      </c>
      <c r="B24" s="2">
        <v>1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1</v>
      </c>
      <c r="N24" s="2">
        <v>1</v>
      </c>
      <c r="O24" s="2">
        <v>1</v>
      </c>
      <c r="P24" s="2">
        <v>1</v>
      </c>
      <c r="Q24" s="2">
        <v>1</v>
      </c>
      <c r="R24" s="2">
        <v>1</v>
      </c>
      <c r="S24" s="2">
        <v>1</v>
      </c>
      <c r="T24" s="2">
        <v>1</v>
      </c>
      <c r="U24" s="2">
        <v>1</v>
      </c>
      <c r="V24" s="2">
        <v>1</v>
      </c>
      <c r="W24" s="2">
        <v>1</v>
      </c>
      <c r="Z24" s="6" t="s">
        <v>26</v>
      </c>
    </row>
    <row r="27" spans="1:26" ht="58" x14ac:dyDescent="0.35">
      <c r="A27" s="11"/>
      <c r="B27" s="11" t="s">
        <v>26</v>
      </c>
      <c r="C27" s="11" t="s">
        <v>42</v>
      </c>
      <c r="D27" s="11" t="s">
        <v>27</v>
      </c>
      <c r="E27" s="11" t="s">
        <v>35</v>
      </c>
      <c r="F27" s="11" t="s">
        <v>25</v>
      </c>
      <c r="G27" s="11" t="s">
        <v>32</v>
      </c>
      <c r="H27" s="11" t="s">
        <v>24</v>
      </c>
      <c r="I27" s="11" t="s">
        <v>49</v>
      </c>
      <c r="J27" s="11" t="s">
        <v>52</v>
      </c>
      <c r="K27" s="11" t="s">
        <v>50</v>
      </c>
      <c r="L27" s="11" t="s">
        <v>43</v>
      </c>
      <c r="M27" s="11" t="s">
        <v>38</v>
      </c>
      <c r="N27" s="11" t="s">
        <v>30</v>
      </c>
      <c r="O27" s="11" t="s">
        <v>51</v>
      </c>
      <c r="P27" s="11" t="s">
        <v>28</v>
      </c>
      <c r="Q27" s="11" t="s">
        <v>31</v>
      </c>
      <c r="R27" s="11" t="s">
        <v>41</v>
      </c>
      <c r="S27" s="11" t="s">
        <v>23</v>
      </c>
      <c r="T27" s="11" t="s">
        <v>40</v>
      </c>
      <c r="U27" s="11" t="s">
        <v>53</v>
      </c>
      <c r="V27" s="11" t="s">
        <v>34</v>
      </c>
      <c r="W27" s="11" t="s">
        <v>33</v>
      </c>
    </row>
    <row r="28" spans="1:26" x14ac:dyDescent="0.35">
      <c r="A28" s="2" t="s">
        <v>33</v>
      </c>
      <c r="B28" s="3" t="s">
        <v>18</v>
      </c>
      <c r="C28" s="3" t="s">
        <v>18</v>
      </c>
      <c r="D28" s="3" t="s">
        <v>18</v>
      </c>
      <c r="E28" s="3" t="s">
        <v>18</v>
      </c>
      <c r="F28" s="3" t="s">
        <v>18</v>
      </c>
      <c r="G28" s="3" t="s">
        <v>18</v>
      </c>
      <c r="H28" s="3" t="s">
        <v>18</v>
      </c>
      <c r="I28" s="3" t="s">
        <v>18</v>
      </c>
      <c r="J28" s="3" t="s">
        <v>18</v>
      </c>
      <c r="K28" s="3" t="s">
        <v>18</v>
      </c>
      <c r="L28" s="3" t="s">
        <v>18</v>
      </c>
      <c r="M28" s="3" t="s">
        <v>18</v>
      </c>
      <c r="N28" s="3" t="s">
        <v>18</v>
      </c>
      <c r="O28" s="3" t="s">
        <v>18</v>
      </c>
      <c r="P28" s="3" t="s">
        <v>18</v>
      </c>
      <c r="Q28" s="3" t="s">
        <v>18</v>
      </c>
      <c r="R28" s="3" t="s">
        <v>18</v>
      </c>
      <c r="S28" s="3" t="s">
        <v>18</v>
      </c>
      <c r="T28" s="3" t="s">
        <v>18</v>
      </c>
      <c r="U28" s="3" t="s">
        <v>18</v>
      </c>
      <c r="V28" s="12" t="s">
        <v>18</v>
      </c>
      <c r="W28" s="13"/>
    </row>
    <row r="29" spans="1:26" x14ac:dyDescent="0.35">
      <c r="A29" s="2" t="s">
        <v>34</v>
      </c>
      <c r="B29" s="3" t="s">
        <v>18</v>
      </c>
      <c r="C29" s="3" t="s">
        <v>18</v>
      </c>
      <c r="D29" s="3" t="s">
        <v>18</v>
      </c>
      <c r="E29" s="3" t="s">
        <v>18</v>
      </c>
      <c r="F29" s="3" t="s">
        <v>18</v>
      </c>
      <c r="G29" s="3" t="s">
        <v>18</v>
      </c>
      <c r="H29" s="3" t="s">
        <v>18</v>
      </c>
      <c r="I29" s="3" t="s">
        <v>18</v>
      </c>
      <c r="J29" s="3" t="s">
        <v>18</v>
      </c>
      <c r="K29" s="3" t="s">
        <v>18</v>
      </c>
      <c r="L29" s="3" t="s">
        <v>18</v>
      </c>
      <c r="M29" s="3" t="s">
        <v>18</v>
      </c>
      <c r="N29" s="3" t="s">
        <v>18</v>
      </c>
      <c r="O29" s="3" t="s">
        <v>18</v>
      </c>
      <c r="P29" s="3" t="s">
        <v>18</v>
      </c>
      <c r="Q29" s="3" t="s">
        <v>18</v>
      </c>
      <c r="R29" s="3" t="s">
        <v>18</v>
      </c>
      <c r="S29" s="3" t="s">
        <v>18</v>
      </c>
      <c r="T29" s="3" t="s">
        <v>18</v>
      </c>
      <c r="U29" s="3" t="s">
        <v>18</v>
      </c>
      <c r="V29" s="13"/>
      <c r="W29" s="12" t="s">
        <v>19</v>
      </c>
    </row>
    <row r="30" spans="1:26" x14ac:dyDescent="0.35">
      <c r="A30" s="2" t="s">
        <v>53</v>
      </c>
      <c r="B30" s="3" t="s">
        <v>18</v>
      </c>
      <c r="C30" s="3" t="s">
        <v>18</v>
      </c>
      <c r="D30" s="3" t="s">
        <v>18</v>
      </c>
      <c r="E30" s="3" t="s">
        <v>18</v>
      </c>
      <c r="F30" s="3" t="s">
        <v>18</v>
      </c>
      <c r="G30" s="3" t="s">
        <v>18</v>
      </c>
      <c r="H30" s="3" t="s">
        <v>18</v>
      </c>
      <c r="I30" s="3" t="s">
        <v>18</v>
      </c>
      <c r="J30" s="3" t="s">
        <v>18</v>
      </c>
      <c r="K30" s="3" t="s">
        <v>18</v>
      </c>
      <c r="L30" s="3" t="s">
        <v>18</v>
      </c>
      <c r="M30" s="3" t="s">
        <v>18</v>
      </c>
      <c r="N30" s="3" t="s">
        <v>18</v>
      </c>
      <c r="O30" s="3" t="s">
        <v>18</v>
      </c>
      <c r="P30" s="3" t="s">
        <v>18</v>
      </c>
      <c r="Q30" s="3" t="s">
        <v>18</v>
      </c>
      <c r="R30" s="3" t="s">
        <v>18</v>
      </c>
      <c r="S30" s="3" t="s">
        <v>18</v>
      </c>
      <c r="T30" s="3" t="s">
        <v>18</v>
      </c>
      <c r="U30" s="9"/>
      <c r="V30" s="12" t="s">
        <v>19</v>
      </c>
      <c r="W30" s="12" t="s">
        <v>19</v>
      </c>
    </row>
    <row r="31" spans="1:26" x14ac:dyDescent="0.35">
      <c r="A31" s="2" t="s">
        <v>40</v>
      </c>
      <c r="B31" s="3" t="s">
        <v>18</v>
      </c>
      <c r="C31" s="3" t="s">
        <v>18</v>
      </c>
      <c r="D31" s="3" t="s">
        <v>18</v>
      </c>
      <c r="E31" s="3" t="s">
        <v>18</v>
      </c>
      <c r="F31" s="3" t="s">
        <v>18</v>
      </c>
      <c r="G31" s="3" t="s">
        <v>18</v>
      </c>
      <c r="H31" s="3" t="s">
        <v>18</v>
      </c>
      <c r="I31" s="3" t="s">
        <v>18</v>
      </c>
      <c r="J31" s="3" t="s">
        <v>18</v>
      </c>
      <c r="K31" s="3" t="s">
        <v>18</v>
      </c>
      <c r="L31" s="3" t="s">
        <v>18</v>
      </c>
      <c r="M31" s="3" t="s">
        <v>18</v>
      </c>
      <c r="N31" s="3" t="s">
        <v>18</v>
      </c>
      <c r="O31" s="3" t="s">
        <v>18</v>
      </c>
      <c r="P31" s="3" t="s">
        <v>18</v>
      </c>
      <c r="Q31" s="3" t="s">
        <v>18</v>
      </c>
      <c r="R31" s="3" t="s">
        <v>18</v>
      </c>
      <c r="S31" s="3" t="s">
        <v>18</v>
      </c>
      <c r="T31" s="9"/>
      <c r="U31" s="3" t="s">
        <v>19</v>
      </c>
      <c r="V31" s="12" t="s">
        <v>19</v>
      </c>
      <c r="W31" s="12" t="s">
        <v>19</v>
      </c>
    </row>
    <row r="32" spans="1:26" x14ac:dyDescent="0.35">
      <c r="A32" s="2" t="s">
        <v>23</v>
      </c>
      <c r="B32" s="3" t="s">
        <v>18</v>
      </c>
      <c r="C32" s="3" t="s">
        <v>18</v>
      </c>
      <c r="D32" s="3" t="s">
        <v>18</v>
      </c>
      <c r="E32" s="3" t="s">
        <v>18</v>
      </c>
      <c r="F32" s="3" t="s">
        <v>18</v>
      </c>
      <c r="G32" s="3" t="s">
        <v>18</v>
      </c>
      <c r="H32" s="3" t="s">
        <v>18</v>
      </c>
      <c r="I32" s="3" t="s">
        <v>18</v>
      </c>
      <c r="J32" s="3" t="s">
        <v>18</v>
      </c>
      <c r="K32" s="3" t="s">
        <v>18</v>
      </c>
      <c r="L32" s="3" t="s">
        <v>18</v>
      </c>
      <c r="M32" s="3" t="s">
        <v>18</v>
      </c>
      <c r="N32" s="3" t="s">
        <v>18</v>
      </c>
      <c r="O32" s="3" t="s">
        <v>18</v>
      </c>
      <c r="P32" s="3" t="s">
        <v>18</v>
      </c>
      <c r="Q32" s="3" t="s">
        <v>18</v>
      </c>
      <c r="R32" s="3" t="s">
        <v>18</v>
      </c>
      <c r="S32" s="9"/>
      <c r="T32" s="3" t="s">
        <v>19</v>
      </c>
      <c r="U32" s="3" t="s">
        <v>19</v>
      </c>
      <c r="V32" s="12" t="s">
        <v>19</v>
      </c>
      <c r="W32" s="12" t="s">
        <v>19</v>
      </c>
    </row>
    <row r="33" spans="1:23" x14ac:dyDescent="0.35">
      <c r="A33" s="2" t="s">
        <v>41</v>
      </c>
      <c r="B33" s="3" t="s">
        <v>18</v>
      </c>
      <c r="C33" s="3" t="s">
        <v>18</v>
      </c>
      <c r="D33" s="3" t="s">
        <v>18</v>
      </c>
      <c r="E33" s="3" t="s">
        <v>18</v>
      </c>
      <c r="F33" s="3" t="s">
        <v>18</v>
      </c>
      <c r="G33" s="3" t="s">
        <v>18</v>
      </c>
      <c r="H33" s="3" t="s">
        <v>18</v>
      </c>
      <c r="I33" s="10" t="s">
        <v>18</v>
      </c>
      <c r="J33" s="3" t="s">
        <v>18</v>
      </c>
      <c r="K33" s="3" t="s">
        <v>18</v>
      </c>
      <c r="L33" s="3" t="s">
        <v>18</v>
      </c>
      <c r="M33" s="3" t="s">
        <v>18</v>
      </c>
      <c r="N33" s="3" t="s">
        <v>18</v>
      </c>
      <c r="O33" s="3" t="s">
        <v>18</v>
      </c>
      <c r="P33" s="3" t="s">
        <v>18</v>
      </c>
      <c r="Q33" s="3" t="s">
        <v>18</v>
      </c>
      <c r="R33" s="9"/>
      <c r="S33" s="3" t="s">
        <v>19</v>
      </c>
      <c r="T33" s="3" t="s">
        <v>19</v>
      </c>
      <c r="U33" s="3" t="s">
        <v>19</v>
      </c>
      <c r="V33" s="12" t="s">
        <v>19</v>
      </c>
      <c r="W33" s="12" t="s">
        <v>19</v>
      </c>
    </row>
    <row r="34" spans="1:23" x14ac:dyDescent="0.35">
      <c r="A34" s="7" t="s">
        <v>31</v>
      </c>
      <c r="B34" s="3" t="s">
        <v>18</v>
      </c>
      <c r="C34" s="3" t="s">
        <v>18</v>
      </c>
      <c r="D34" s="3" t="s">
        <v>18</v>
      </c>
      <c r="E34" s="3" t="s">
        <v>18</v>
      </c>
      <c r="F34" s="3" t="s">
        <v>18</v>
      </c>
      <c r="G34" s="3" t="s">
        <v>18</v>
      </c>
      <c r="H34" s="3" t="s">
        <v>18</v>
      </c>
      <c r="I34" s="10" t="s">
        <v>18</v>
      </c>
      <c r="J34" s="3" t="s">
        <v>18</v>
      </c>
      <c r="K34" s="3" t="s">
        <v>18</v>
      </c>
      <c r="L34" s="3" t="s">
        <v>18</v>
      </c>
      <c r="M34" s="3" t="s">
        <v>18</v>
      </c>
      <c r="N34" s="3" t="s">
        <v>18</v>
      </c>
      <c r="O34" s="3" t="s">
        <v>18</v>
      </c>
      <c r="P34" s="3" t="s">
        <v>18</v>
      </c>
      <c r="Q34" s="9"/>
      <c r="R34" s="3" t="s">
        <v>19</v>
      </c>
      <c r="S34" s="3" t="s">
        <v>19</v>
      </c>
      <c r="T34" s="3" t="s">
        <v>19</v>
      </c>
      <c r="U34" s="3" t="s">
        <v>19</v>
      </c>
      <c r="V34" s="12" t="s">
        <v>19</v>
      </c>
      <c r="W34" s="12" t="s">
        <v>19</v>
      </c>
    </row>
    <row r="35" spans="1:23" x14ac:dyDescent="0.35">
      <c r="A35" s="5" t="s">
        <v>28</v>
      </c>
      <c r="B35" s="3" t="s">
        <v>18</v>
      </c>
      <c r="C35" s="3" t="s">
        <v>18</v>
      </c>
      <c r="D35" s="3" t="s">
        <v>18</v>
      </c>
      <c r="E35" s="3" t="s">
        <v>18</v>
      </c>
      <c r="F35" s="3" t="s">
        <v>18</v>
      </c>
      <c r="G35" s="3" t="s">
        <v>18</v>
      </c>
      <c r="H35" s="3" t="s">
        <v>18</v>
      </c>
      <c r="I35" s="10" t="s">
        <v>18</v>
      </c>
      <c r="J35" s="3" t="s">
        <v>18</v>
      </c>
      <c r="K35" s="3" t="s">
        <v>18</v>
      </c>
      <c r="L35" s="3" t="s">
        <v>18</v>
      </c>
      <c r="M35" s="3" t="s">
        <v>18</v>
      </c>
      <c r="N35" s="3" t="s">
        <v>18</v>
      </c>
      <c r="O35" s="3" t="s">
        <v>18</v>
      </c>
      <c r="P35" s="9"/>
      <c r="Q35" s="3" t="s">
        <v>19</v>
      </c>
      <c r="R35" s="3" t="s">
        <v>19</v>
      </c>
      <c r="S35" s="3" t="s">
        <v>19</v>
      </c>
      <c r="T35" s="3" t="s">
        <v>19</v>
      </c>
      <c r="U35" s="3" t="s">
        <v>19</v>
      </c>
      <c r="V35" s="12" t="s">
        <v>19</v>
      </c>
      <c r="W35" s="12" t="s">
        <v>19</v>
      </c>
    </row>
    <row r="36" spans="1:23" x14ac:dyDescent="0.35">
      <c r="A36" s="5" t="s">
        <v>51</v>
      </c>
      <c r="B36" s="3" t="s">
        <v>18</v>
      </c>
      <c r="C36" s="3" t="s">
        <v>18</v>
      </c>
      <c r="D36" s="3" t="s">
        <v>18</v>
      </c>
      <c r="E36" s="3" t="s">
        <v>18</v>
      </c>
      <c r="F36" s="3" t="s">
        <v>18</v>
      </c>
      <c r="G36" s="3" t="s">
        <v>18</v>
      </c>
      <c r="H36" s="3" t="s">
        <v>18</v>
      </c>
      <c r="I36" s="10" t="s">
        <v>18</v>
      </c>
      <c r="J36" s="3" t="s">
        <v>18</v>
      </c>
      <c r="K36" s="3" t="s">
        <v>18</v>
      </c>
      <c r="L36" s="3" t="s">
        <v>18</v>
      </c>
      <c r="M36" s="3" t="s">
        <v>18</v>
      </c>
      <c r="N36" s="3" t="s">
        <v>18</v>
      </c>
      <c r="O36" s="9"/>
      <c r="P36" s="3" t="s">
        <v>19</v>
      </c>
      <c r="Q36" s="3" t="s">
        <v>19</v>
      </c>
      <c r="R36" s="3" t="s">
        <v>19</v>
      </c>
      <c r="S36" s="3" t="s">
        <v>19</v>
      </c>
      <c r="T36" s="3" t="s">
        <v>19</v>
      </c>
      <c r="U36" s="3" t="s">
        <v>19</v>
      </c>
      <c r="V36" s="12" t="s">
        <v>19</v>
      </c>
      <c r="W36" s="12" t="s">
        <v>19</v>
      </c>
    </row>
    <row r="37" spans="1:23" x14ac:dyDescent="0.35">
      <c r="A37" s="5" t="s">
        <v>30</v>
      </c>
      <c r="B37" s="3" t="s">
        <v>18</v>
      </c>
      <c r="C37" s="3" t="s">
        <v>18</v>
      </c>
      <c r="D37" s="3" t="s">
        <v>18</v>
      </c>
      <c r="E37" s="3" t="s">
        <v>18</v>
      </c>
      <c r="F37" s="3" t="s">
        <v>18</v>
      </c>
      <c r="G37" s="3" t="s">
        <v>18</v>
      </c>
      <c r="H37" s="3" t="s">
        <v>18</v>
      </c>
      <c r="I37" s="10" t="s">
        <v>18</v>
      </c>
      <c r="J37" s="3" t="s">
        <v>18</v>
      </c>
      <c r="K37" s="3" t="s">
        <v>18</v>
      </c>
      <c r="L37" s="3" t="s">
        <v>18</v>
      </c>
      <c r="M37" s="3" t="s">
        <v>18</v>
      </c>
      <c r="N37" s="9"/>
      <c r="O37" s="3" t="s">
        <v>19</v>
      </c>
      <c r="P37" s="3" t="s">
        <v>19</v>
      </c>
      <c r="Q37" s="3" t="s">
        <v>19</v>
      </c>
      <c r="R37" s="3" t="s">
        <v>19</v>
      </c>
      <c r="S37" s="3" t="s">
        <v>19</v>
      </c>
      <c r="T37" s="3" t="s">
        <v>19</v>
      </c>
      <c r="U37" s="3" t="s">
        <v>19</v>
      </c>
      <c r="V37" s="12" t="s">
        <v>19</v>
      </c>
      <c r="W37" s="12" t="s">
        <v>19</v>
      </c>
    </row>
    <row r="38" spans="1:23" x14ac:dyDescent="0.35">
      <c r="A38" s="5" t="s">
        <v>38</v>
      </c>
      <c r="B38" s="3" t="s">
        <v>18</v>
      </c>
      <c r="C38" s="3" t="s">
        <v>18</v>
      </c>
      <c r="D38" s="10" t="s">
        <v>18</v>
      </c>
      <c r="E38" s="3" t="s">
        <v>18</v>
      </c>
      <c r="F38" s="3" t="s">
        <v>18</v>
      </c>
      <c r="G38" s="3" t="s">
        <v>18</v>
      </c>
      <c r="H38" s="3" t="s">
        <v>18</v>
      </c>
      <c r="I38" s="10" t="s">
        <v>18</v>
      </c>
      <c r="J38" s="3" t="s">
        <v>18</v>
      </c>
      <c r="K38" s="3" t="s">
        <v>18</v>
      </c>
      <c r="L38" s="3" t="s">
        <v>18</v>
      </c>
      <c r="M38" s="9"/>
      <c r="N38" s="3" t="s">
        <v>19</v>
      </c>
      <c r="O38" s="3" t="s">
        <v>19</v>
      </c>
      <c r="P38" s="3" t="s">
        <v>19</v>
      </c>
      <c r="Q38" s="3" t="s">
        <v>19</v>
      </c>
      <c r="R38" s="3" t="s">
        <v>19</v>
      </c>
      <c r="S38" s="3" t="s">
        <v>19</v>
      </c>
      <c r="T38" s="3" t="s">
        <v>19</v>
      </c>
      <c r="U38" s="3" t="s">
        <v>19</v>
      </c>
      <c r="V38" s="12" t="s">
        <v>19</v>
      </c>
      <c r="W38" s="12" t="s">
        <v>19</v>
      </c>
    </row>
    <row r="39" spans="1:23" x14ac:dyDescent="0.35">
      <c r="A39" s="5" t="s">
        <v>43</v>
      </c>
      <c r="B39" s="3" t="s">
        <v>18</v>
      </c>
      <c r="C39" s="3" t="s">
        <v>18</v>
      </c>
      <c r="D39" s="3" t="s">
        <v>18</v>
      </c>
      <c r="E39" s="3" t="s">
        <v>18</v>
      </c>
      <c r="F39" s="3" t="s">
        <v>18</v>
      </c>
      <c r="G39" s="3" t="s">
        <v>18</v>
      </c>
      <c r="H39" s="3" t="s">
        <v>18</v>
      </c>
      <c r="I39" s="3" t="s">
        <v>18</v>
      </c>
      <c r="J39" s="3" t="s">
        <v>18</v>
      </c>
      <c r="K39" s="3" t="s">
        <v>18</v>
      </c>
      <c r="L39" s="9"/>
      <c r="M39" s="3" t="s">
        <v>19</v>
      </c>
      <c r="N39" s="3" t="s">
        <v>19</v>
      </c>
      <c r="O39" s="3" t="s">
        <v>19</v>
      </c>
      <c r="P39" s="3" t="s">
        <v>19</v>
      </c>
      <c r="Q39" s="3" t="s">
        <v>19</v>
      </c>
      <c r="R39" s="3" t="s">
        <v>19</v>
      </c>
      <c r="S39" s="3" t="s">
        <v>19</v>
      </c>
      <c r="T39" s="3" t="s">
        <v>19</v>
      </c>
      <c r="U39" s="3" t="s">
        <v>19</v>
      </c>
      <c r="V39" s="12" t="s">
        <v>19</v>
      </c>
      <c r="W39" s="12" t="s">
        <v>19</v>
      </c>
    </row>
    <row r="40" spans="1:23" x14ac:dyDescent="0.35">
      <c r="A40" s="5" t="s">
        <v>50</v>
      </c>
      <c r="B40" s="3" t="s">
        <v>18</v>
      </c>
      <c r="C40" s="3" t="s">
        <v>18</v>
      </c>
      <c r="D40" s="3" t="s">
        <v>18</v>
      </c>
      <c r="E40" s="3" t="s">
        <v>18</v>
      </c>
      <c r="F40" s="3" t="s">
        <v>18</v>
      </c>
      <c r="G40" s="3" t="s">
        <v>18</v>
      </c>
      <c r="H40" s="3" t="s">
        <v>18</v>
      </c>
      <c r="I40" s="3" t="s">
        <v>18</v>
      </c>
      <c r="J40" s="3" t="s">
        <v>18</v>
      </c>
      <c r="K40" s="9"/>
      <c r="L40" s="3" t="s">
        <v>19</v>
      </c>
      <c r="M40" s="3" t="s">
        <v>19</v>
      </c>
      <c r="N40" s="3" t="s">
        <v>19</v>
      </c>
      <c r="O40" s="3" t="s">
        <v>19</v>
      </c>
      <c r="P40" s="3" t="s">
        <v>19</v>
      </c>
      <c r="Q40" s="3" t="s">
        <v>19</v>
      </c>
      <c r="R40" s="3" t="s">
        <v>19</v>
      </c>
      <c r="S40" s="3" t="s">
        <v>19</v>
      </c>
      <c r="T40" s="3" t="s">
        <v>19</v>
      </c>
      <c r="U40" s="3" t="s">
        <v>19</v>
      </c>
      <c r="V40" s="12" t="s">
        <v>19</v>
      </c>
      <c r="W40" s="12" t="s">
        <v>19</v>
      </c>
    </row>
    <row r="41" spans="1:23" x14ac:dyDescent="0.35">
      <c r="A41" s="5" t="s">
        <v>52</v>
      </c>
      <c r="B41" s="3" t="s">
        <v>18</v>
      </c>
      <c r="C41" s="3" t="s">
        <v>18</v>
      </c>
      <c r="D41" s="3" t="s">
        <v>18</v>
      </c>
      <c r="E41" s="3" t="s">
        <v>18</v>
      </c>
      <c r="F41" s="3" t="s">
        <v>18</v>
      </c>
      <c r="G41" s="3" t="s">
        <v>18</v>
      </c>
      <c r="H41" s="3" t="s">
        <v>18</v>
      </c>
      <c r="I41" s="3" t="s">
        <v>18</v>
      </c>
      <c r="J41" s="9"/>
      <c r="K41" s="3" t="s">
        <v>19</v>
      </c>
      <c r="L41" s="3" t="s">
        <v>19</v>
      </c>
      <c r="M41" s="3" t="s">
        <v>19</v>
      </c>
      <c r="N41" s="3" t="s">
        <v>19</v>
      </c>
      <c r="O41" s="3" t="s">
        <v>19</v>
      </c>
      <c r="P41" s="3" t="s">
        <v>19</v>
      </c>
      <c r="Q41" s="3" t="s">
        <v>19</v>
      </c>
      <c r="R41" s="3" t="s">
        <v>19</v>
      </c>
      <c r="S41" s="3" t="s">
        <v>19</v>
      </c>
      <c r="T41" s="3" t="s">
        <v>19</v>
      </c>
      <c r="U41" s="3" t="s">
        <v>19</v>
      </c>
      <c r="V41" s="12" t="s">
        <v>19</v>
      </c>
      <c r="W41" s="12" t="s">
        <v>19</v>
      </c>
    </row>
    <row r="42" spans="1:23" x14ac:dyDescent="0.35">
      <c r="A42" s="7" t="s">
        <v>49</v>
      </c>
      <c r="B42" s="3" t="s">
        <v>18</v>
      </c>
      <c r="C42" s="3" t="s">
        <v>18</v>
      </c>
      <c r="D42" s="3" t="s">
        <v>18</v>
      </c>
      <c r="E42" s="3" t="s">
        <v>18</v>
      </c>
      <c r="F42" s="3" t="s">
        <v>18</v>
      </c>
      <c r="G42" s="3" t="s">
        <v>18</v>
      </c>
      <c r="H42" s="3" t="s">
        <v>18</v>
      </c>
      <c r="I42" s="9"/>
      <c r="J42" s="3" t="s">
        <v>19</v>
      </c>
      <c r="K42" s="3" t="s">
        <v>19</v>
      </c>
      <c r="L42" s="3" t="s">
        <v>19</v>
      </c>
      <c r="M42" s="3" t="s">
        <v>19</v>
      </c>
      <c r="N42" s="3" t="s">
        <v>19</v>
      </c>
      <c r="O42" s="3" t="s">
        <v>19</v>
      </c>
      <c r="P42" s="3" t="s">
        <v>19</v>
      </c>
      <c r="Q42" s="3" t="s">
        <v>19</v>
      </c>
      <c r="R42" s="3" t="s">
        <v>19</v>
      </c>
      <c r="S42" s="3" t="s">
        <v>19</v>
      </c>
      <c r="T42" s="3" t="s">
        <v>19</v>
      </c>
      <c r="U42" s="3" t="s">
        <v>19</v>
      </c>
      <c r="V42" s="12" t="s">
        <v>19</v>
      </c>
      <c r="W42" s="12" t="s">
        <v>19</v>
      </c>
    </row>
    <row r="43" spans="1:23" x14ac:dyDescent="0.35">
      <c r="A43" s="5" t="s">
        <v>24</v>
      </c>
      <c r="B43" s="3" t="s">
        <v>18</v>
      </c>
      <c r="C43" s="3" t="s">
        <v>18</v>
      </c>
      <c r="D43" s="3" t="s">
        <v>18</v>
      </c>
      <c r="E43" s="3" t="s">
        <v>18</v>
      </c>
      <c r="F43" s="3" t="s">
        <v>18</v>
      </c>
      <c r="G43" s="3" t="s">
        <v>18</v>
      </c>
      <c r="H43" s="9"/>
      <c r="I43" s="3" t="s">
        <v>19</v>
      </c>
      <c r="J43" s="3" t="s">
        <v>19</v>
      </c>
      <c r="K43" s="3" t="s">
        <v>19</v>
      </c>
      <c r="L43" s="3" t="s">
        <v>19</v>
      </c>
      <c r="M43" s="3" t="s">
        <v>19</v>
      </c>
      <c r="N43" s="3" t="s">
        <v>19</v>
      </c>
      <c r="O43" s="3" t="s">
        <v>19</v>
      </c>
      <c r="P43" s="3" t="s">
        <v>19</v>
      </c>
      <c r="Q43" s="3" t="s">
        <v>19</v>
      </c>
      <c r="R43" s="3" t="s">
        <v>19</v>
      </c>
      <c r="S43" s="3" t="s">
        <v>19</v>
      </c>
      <c r="T43" s="3" t="s">
        <v>19</v>
      </c>
      <c r="U43" s="3" t="s">
        <v>19</v>
      </c>
      <c r="V43" s="12" t="s">
        <v>19</v>
      </c>
      <c r="W43" s="12" t="s">
        <v>19</v>
      </c>
    </row>
    <row r="44" spans="1:23" x14ac:dyDescent="0.35">
      <c r="A44" s="5" t="s">
        <v>32</v>
      </c>
      <c r="B44" s="3" t="s">
        <v>18</v>
      </c>
      <c r="C44" s="3" t="s">
        <v>18</v>
      </c>
      <c r="D44" s="3" t="s">
        <v>18</v>
      </c>
      <c r="E44" s="3" t="s">
        <v>18</v>
      </c>
      <c r="F44" s="3" t="s">
        <v>18</v>
      </c>
      <c r="G44" s="9"/>
      <c r="H44" s="3" t="s">
        <v>19</v>
      </c>
      <c r="I44" s="3" t="s">
        <v>19</v>
      </c>
      <c r="J44" s="3" t="s">
        <v>19</v>
      </c>
      <c r="K44" s="3" t="s">
        <v>19</v>
      </c>
      <c r="L44" s="3" t="s">
        <v>19</v>
      </c>
      <c r="M44" s="3" t="s">
        <v>19</v>
      </c>
      <c r="N44" s="3" t="s">
        <v>19</v>
      </c>
      <c r="O44" s="3" t="s">
        <v>19</v>
      </c>
      <c r="P44" s="3" t="s">
        <v>19</v>
      </c>
      <c r="Q44" s="3" t="s">
        <v>19</v>
      </c>
      <c r="R44" s="3" t="s">
        <v>19</v>
      </c>
      <c r="S44" s="3" t="s">
        <v>19</v>
      </c>
      <c r="T44" s="3" t="s">
        <v>19</v>
      </c>
      <c r="U44" s="3" t="s">
        <v>19</v>
      </c>
      <c r="V44" s="12" t="s">
        <v>19</v>
      </c>
      <c r="W44" s="12" t="s">
        <v>19</v>
      </c>
    </row>
    <row r="45" spans="1:23" x14ac:dyDescent="0.35">
      <c r="A45" s="6" t="s">
        <v>25</v>
      </c>
      <c r="B45" s="3" t="s">
        <v>18</v>
      </c>
      <c r="C45" s="3" t="s">
        <v>18</v>
      </c>
      <c r="D45" s="3" t="s">
        <v>18</v>
      </c>
      <c r="E45" s="3" t="s">
        <v>18</v>
      </c>
      <c r="F45" s="9"/>
      <c r="G45" s="3" t="s">
        <v>19</v>
      </c>
      <c r="H45" s="3" t="s">
        <v>19</v>
      </c>
      <c r="I45" s="3" t="s">
        <v>19</v>
      </c>
      <c r="J45" s="3" t="s">
        <v>19</v>
      </c>
      <c r="K45" s="3" t="s">
        <v>19</v>
      </c>
      <c r="L45" s="3" t="s">
        <v>19</v>
      </c>
      <c r="M45" s="3" t="s">
        <v>19</v>
      </c>
      <c r="N45" s="3" t="s">
        <v>19</v>
      </c>
      <c r="O45" s="3" t="s">
        <v>19</v>
      </c>
      <c r="P45" s="3" t="s">
        <v>19</v>
      </c>
      <c r="Q45" s="3" t="s">
        <v>19</v>
      </c>
      <c r="R45" s="3" t="s">
        <v>19</v>
      </c>
      <c r="S45" s="3" t="s">
        <v>19</v>
      </c>
      <c r="T45" s="3" t="s">
        <v>19</v>
      </c>
      <c r="U45" s="3" t="s">
        <v>19</v>
      </c>
      <c r="V45" s="12" t="s">
        <v>19</v>
      </c>
      <c r="W45" s="12" t="s">
        <v>19</v>
      </c>
    </row>
    <row r="46" spans="1:23" x14ac:dyDescent="0.35">
      <c r="A46" s="6" t="s">
        <v>35</v>
      </c>
      <c r="B46" s="3" t="s">
        <v>18</v>
      </c>
      <c r="C46" s="3" t="s">
        <v>18</v>
      </c>
      <c r="D46" s="3" t="s">
        <v>18</v>
      </c>
      <c r="E46" s="9"/>
      <c r="F46" s="3" t="s">
        <v>19</v>
      </c>
      <c r="G46" s="3" t="s">
        <v>19</v>
      </c>
      <c r="H46" s="3" t="s">
        <v>19</v>
      </c>
      <c r="I46" s="3" t="s">
        <v>19</v>
      </c>
      <c r="J46" s="3" t="s">
        <v>19</v>
      </c>
      <c r="K46" s="3" t="s">
        <v>19</v>
      </c>
      <c r="L46" s="3" t="s">
        <v>19</v>
      </c>
      <c r="M46" s="3" t="s">
        <v>19</v>
      </c>
      <c r="N46" s="3" t="s">
        <v>19</v>
      </c>
      <c r="O46" s="3" t="s">
        <v>19</v>
      </c>
      <c r="P46" s="3" t="s">
        <v>19</v>
      </c>
      <c r="Q46" s="3" t="s">
        <v>19</v>
      </c>
      <c r="R46" s="3" t="s">
        <v>19</v>
      </c>
      <c r="S46" s="3" t="s">
        <v>19</v>
      </c>
      <c r="T46" s="3" t="s">
        <v>19</v>
      </c>
      <c r="U46" s="3" t="s">
        <v>19</v>
      </c>
      <c r="V46" s="12" t="s">
        <v>19</v>
      </c>
      <c r="W46" s="12" t="s">
        <v>19</v>
      </c>
    </row>
    <row r="47" spans="1:23" x14ac:dyDescent="0.35">
      <c r="A47" s="11" t="s">
        <v>27</v>
      </c>
      <c r="B47" s="3" t="s">
        <v>18</v>
      </c>
      <c r="C47" s="3" t="s">
        <v>18</v>
      </c>
      <c r="D47" s="9"/>
      <c r="E47" s="3" t="s">
        <v>19</v>
      </c>
      <c r="F47" s="3" t="s">
        <v>19</v>
      </c>
      <c r="G47" s="3" t="s">
        <v>19</v>
      </c>
      <c r="H47" s="3" t="s">
        <v>19</v>
      </c>
      <c r="I47" s="3" t="s">
        <v>19</v>
      </c>
      <c r="J47" s="3" t="s">
        <v>19</v>
      </c>
      <c r="K47" s="3" t="s">
        <v>19</v>
      </c>
      <c r="L47" s="3" t="s">
        <v>19</v>
      </c>
      <c r="M47" s="3" t="s">
        <v>19</v>
      </c>
      <c r="N47" s="3" t="s">
        <v>19</v>
      </c>
      <c r="O47" s="3" t="s">
        <v>19</v>
      </c>
      <c r="P47" s="3" t="s">
        <v>19</v>
      </c>
      <c r="Q47" s="3" t="s">
        <v>19</v>
      </c>
      <c r="R47" s="3" t="s">
        <v>19</v>
      </c>
      <c r="S47" s="3" t="s">
        <v>19</v>
      </c>
      <c r="T47" s="3" t="s">
        <v>19</v>
      </c>
      <c r="U47" s="3" t="s">
        <v>19</v>
      </c>
      <c r="V47" s="12" t="s">
        <v>19</v>
      </c>
      <c r="W47" s="12" t="s">
        <v>19</v>
      </c>
    </row>
    <row r="48" spans="1:23" x14ac:dyDescent="0.35">
      <c r="A48" s="8" t="s">
        <v>42</v>
      </c>
      <c r="B48" s="3" t="s">
        <v>18</v>
      </c>
      <c r="C48" s="9"/>
      <c r="D48" s="3" t="s">
        <v>19</v>
      </c>
      <c r="E48" s="3" t="s">
        <v>19</v>
      </c>
      <c r="F48" s="3" t="s">
        <v>19</v>
      </c>
      <c r="G48" s="3" t="s">
        <v>19</v>
      </c>
      <c r="H48" s="3" t="s">
        <v>19</v>
      </c>
      <c r="I48" s="3" t="s">
        <v>19</v>
      </c>
      <c r="J48" s="3" t="s">
        <v>19</v>
      </c>
      <c r="K48" s="3" t="s">
        <v>19</v>
      </c>
      <c r="L48" s="3" t="s">
        <v>19</v>
      </c>
      <c r="M48" s="3" t="s">
        <v>19</v>
      </c>
      <c r="N48" s="3" t="s">
        <v>19</v>
      </c>
      <c r="O48" s="3" t="s">
        <v>19</v>
      </c>
      <c r="P48" s="3" t="s">
        <v>19</v>
      </c>
      <c r="Q48" s="3" t="s">
        <v>19</v>
      </c>
      <c r="R48" s="3" t="s">
        <v>19</v>
      </c>
      <c r="S48" s="3" t="s">
        <v>19</v>
      </c>
      <c r="T48" s="3" t="s">
        <v>19</v>
      </c>
      <c r="U48" s="3" t="s">
        <v>19</v>
      </c>
      <c r="V48" s="12" t="s">
        <v>19</v>
      </c>
      <c r="W48" s="12" t="s">
        <v>19</v>
      </c>
    </row>
    <row r="49" spans="1:23" x14ac:dyDescent="0.35">
      <c r="A49" s="6" t="s">
        <v>26</v>
      </c>
      <c r="B49" s="9"/>
      <c r="C49" s="3" t="s">
        <v>19</v>
      </c>
      <c r="D49" s="3" t="s">
        <v>19</v>
      </c>
      <c r="E49" s="3" t="s">
        <v>19</v>
      </c>
      <c r="F49" s="3" t="s">
        <v>19</v>
      </c>
      <c r="G49" s="3" t="s">
        <v>19</v>
      </c>
      <c r="H49" s="3" t="s">
        <v>19</v>
      </c>
      <c r="I49" s="3" t="s">
        <v>19</v>
      </c>
      <c r="J49" s="3" t="s">
        <v>19</v>
      </c>
      <c r="K49" s="3" t="s">
        <v>19</v>
      </c>
      <c r="L49" s="3" t="s">
        <v>19</v>
      </c>
      <c r="M49" s="3" t="s">
        <v>19</v>
      </c>
      <c r="N49" s="3" t="s">
        <v>19</v>
      </c>
      <c r="O49" s="3" t="s">
        <v>19</v>
      </c>
      <c r="P49" s="3" t="s">
        <v>19</v>
      </c>
      <c r="Q49" s="3" t="s">
        <v>19</v>
      </c>
      <c r="R49" s="3" t="s">
        <v>19</v>
      </c>
      <c r="S49" s="3" t="s">
        <v>19</v>
      </c>
      <c r="T49" s="3" t="s">
        <v>19</v>
      </c>
      <c r="U49" s="3" t="s">
        <v>19</v>
      </c>
      <c r="V49" s="12" t="s">
        <v>19</v>
      </c>
      <c r="W49" s="12" t="s">
        <v>19</v>
      </c>
    </row>
  </sheetData>
  <conditionalFormatting sqref="E3:W20 E21:V21">
    <cfRule type="containsText" dxfId="2" priority="4" operator="containsText" text="P">
      <formula>NOT(ISERROR(SEARCH("P",E3)))</formula>
    </cfRule>
    <cfRule type="containsText" dxfId="1" priority="5" operator="containsText" text="N">
      <formula>NOT(ISERROR(SEARCH("N",E3)))</formula>
    </cfRule>
    <cfRule type="containsText" dxfId="0" priority="6" operator="containsText" text="Y">
      <formula>NOT(ISERROR(SEARCH("Y",E3)))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9C65-8F68-4436-BE19-451880DE678C}">
  <dimension ref="A1:W23"/>
  <sheetViews>
    <sheetView topLeftCell="A8" workbookViewId="0">
      <selection activeCell="A27" sqref="A27:X50"/>
    </sheetView>
  </sheetViews>
  <sheetFormatPr defaultRowHeight="14.5" x14ac:dyDescent="0.35"/>
  <cols>
    <col min="1" max="1" width="28.54296875" bestFit="1" customWidth="1"/>
  </cols>
  <sheetData>
    <row r="1" spans="1:23" ht="58" x14ac:dyDescent="0.35">
      <c r="A1" s="11"/>
      <c r="B1" s="11" t="s">
        <v>26</v>
      </c>
      <c r="C1" s="11" t="s">
        <v>42</v>
      </c>
      <c r="D1" s="11" t="s">
        <v>27</v>
      </c>
      <c r="E1" s="11" t="s">
        <v>35</v>
      </c>
      <c r="F1" s="11" t="s">
        <v>25</v>
      </c>
      <c r="G1" s="11" t="s">
        <v>32</v>
      </c>
      <c r="H1" s="11" t="s">
        <v>24</v>
      </c>
      <c r="I1" s="11" t="s">
        <v>49</v>
      </c>
      <c r="J1" s="11" t="s">
        <v>52</v>
      </c>
      <c r="K1" s="11" t="s">
        <v>50</v>
      </c>
      <c r="L1" s="11" t="s">
        <v>43</v>
      </c>
      <c r="M1" s="11" t="s">
        <v>38</v>
      </c>
      <c r="N1" s="11" t="s">
        <v>30</v>
      </c>
      <c r="O1" s="11" t="s">
        <v>51</v>
      </c>
      <c r="P1" s="11" t="s">
        <v>28</v>
      </c>
      <c r="Q1" s="11" t="s">
        <v>31</v>
      </c>
      <c r="R1" s="11" t="s">
        <v>41</v>
      </c>
      <c r="S1" s="11" t="s">
        <v>23</v>
      </c>
      <c r="T1" s="11" t="s">
        <v>40</v>
      </c>
      <c r="U1" s="11" t="s">
        <v>53</v>
      </c>
      <c r="V1" s="11" t="s">
        <v>34</v>
      </c>
      <c r="W1" s="11" t="s">
        <v>33</v>
      </c>
    </row>
    <row r="2" spans="1:23" x14ac:dyDescent="0.35">
      <c r="A2" s="2" t="s">
        <v>33</v>
      </c>
      <c r="B2" s="3" t="s">
        <v>18</v>
      </c>
      <c r="C2" s="3" t="s">
        <v>18</v>
      </c>
      <c r="D2" s="3" t="s">
        <v>18</v>
      </c>
      <c r="E2" s="3" t="s">
        <v>18</v>
      </c>
      <c r="F2" s="3" t="s">
        <v>18</v>
      </c>
      <c r="G2" s="3" t="s">
        <v>18</v>
      </c>
      <c r="H2" s="3" t="s">
        <v>18</v>
      </c>
      <c r="I2" s="3" t="s">
        <v>18</v>
      </c>
      <c r="J2" s="3" t="s">
        <v>18</v>
      </c>
      <c r="K2" s="3" t="s">
        <v>18</v>
      </c>
      <c r="L2" s="3" t="s">
        <v>18</v>
      </c>
      <c r="M2" s="3" t="s">
        <v>18</v>
      </c>
      <c r="N2" s="3" t="s">
        <v>18</v>
      </c>
      <c r="O2" s="3" t="s">
        <v>18</v>
      </c>
      <c r="P2" s="3" t="s">
        <v>18</v>
      </c>
      <c r="Q2" s="3" t="s">
        <v>18</v>
      </c>
      <c r="R2" s="3" t="s">
        <v>18</v>
      </c>
      <c r="S2" s="3" t="s">
        <v>18</v>
      </c>
      <c r="T2" s="3" t="s">
        <v>18</v>
      </c>
      <c r="U2" s="3" t="s">
        <v>18</v>
      </c>
      <c r="V2" s="12" t="s">
        <v>18</v>
      </c>
      <c r="W2" s="13"/>
    </row>
    <row r="3" spans="1:23" x14ac:dyDescent="0.35">
      <c r="A3" s="2" t="s">
        <v>34</v>
      </c>
      <c r="B3" s="3" t="s">
        <v>18</v>
      </c>
      <c r="C3" s="3" t="s">
        <v>18</v>
      </c>
      <c r="D3" s="3" t="s">
        <v>18</v>
      </c>
      <c r="E3" s="3" t="s">
        <v>18</v>
      </c>
      <c r="F3" s="3" t="s">
        <v>18</v>
      </c>
      <c r="G3" s="3" t="s">
        <v>18</v>
      </c>
      <c r="H3" s="3" t="s">
        <v>18</v>
      </c>
      <c r="I3" s="3" t="s">
        <v>18</v>
      </c>
      <c r="J3" s="3" t="s">
        <v>18</v>
      </c>
      <c r="K3" s="3" t="s">
        <v>18</v>
      </c>
      <c r="L3" s="3" t="s">
        <v>18</v>
      </c>
      <c r="M3" s="3" t="s">
        <v>18</v>
      </c>
      <c r="N3" s="3" t="s">
        <v>18</v>
      </c>
      <c r="O3" s="3" t="s">
        <v>18</v>
      </c>
      <c r="P3" s="3" t="s">
        <v>18</v>
      </c>
      <c r="Q3" s="3" t="s">
        <v>18</v>
      </c>
      <c r="R3" s="3" t="s">
        <v>18</v>
      </c>
      <c r="S3" s="3" t="s">
        <v>18</v>
      </c>
      <c r="T3" s="3" t="s">
        <v>18</v>
      </c>
      <c r="U3" s="3" t="s">
        <v>18</v>
      </c>
      <c r="V3" s="13"/>
      <c r="W3" s="12" t="s">
        <v>19</v>
      </c>
    </row>
    <row r="4" spans="1:23" x14ac:dyDescent="0.35">
      <c r="A4" s="2" t="s">
        <v>53</v>
      </c>
      <c r="B4" s="3" t="s">
        <v>18</v>
      </c>
      <c r="C4" s="3" t="s">
        <v>18</v>
      </c>
      <c r="D4" s="3" t="s">
        <v>18</v>
      </c>
      <c r="E4" s="3" t="s">
        <v>18</v>
      </c>
      <c r="F4" s="3" t="s">
        <v>18</v>
      </c>
      <c r="G4" s="3" t="s">
        <v>18</v>
      </c>
      <c r="H4" s="3" t="s">
        <v>18</v>
      </c>
      <c r="I4" s="3" t="s">
        <v>18</v>
      </c>
      <c r="J4" s="3" t="s">
        <v>18</v>
      </c>
      <c r="K4" s="3" t="s">
        <v>18</v>
      </c>
      <c r="L4" s="3" t="s">
        <v>18</v>
      </c>
      <c r="M4" s="3" t="s">
        <v>18</v>
      </c>
      <c r="N4" s="3" t="s">
        <v>18</v>
      </c>
      <c r="O4" s="3" t="s">
        <v>18</v>
      </c>
      <c r="P4" s="3" t="s">
        <v>18</v>
      </c>
      <c r="Q4" s="3" t="s">
        <v>18</v>
      </c>
      <c r="R4" s="3" t="s">
        <v>18</v>
      </c>
      <c r="S4" s="3" t="s">
        <v>18</v>
      </c>
      <c r="T4" s="3" t="s">
        <v>18</v>
      </c>
      <c r="U4" s="9"/>
      <c r="V4" s="12" t="s">
        <v>19</v>
      </c>
      <c r="W4" s="12" t="s">
        <v>19</v>
      </c>
    </row>
    <row r="5" spans="1:23" x14ac:dyDescent="0.35">
      <c r="A5" s="2" t="s">
        <v>40</v>
      </c>
      <c r="B5" s="3" t="s">
        <v>18</v>
      </c>
      <c r="C5" s="3" t="s">
        <v>18</v>
      </c>
      <c r="D5" s="3" t="s">
        <v>18</v>
      </c>
      <c r="E5" s="3" t="s">
        <v>18</v>
      </c>
      <c r="F5" s="3" t="s">
        <v>18</v>
      </c>
      <c r="G5" s="3" t="s">
        <v>18</v>
      </c>
      <c r="H5" s="3" t="s">
        <v>18</v>
      </c>
      <c r="I5" s="3" t="s">
        <v>18</v>
      </c>
      <c r="J5" s="3" t="s">
        <v>18</v>
      </c>
      <c r="K5" s="3" t="s">
        <v>18</v>
      </c>
      <c r="L5" s="3" t="s">
        <v>18</v>
      </c>
      <c r="M5" s="3" t="s">
        <v>18</v>
      </c>
      <c r="N5" s="3" t="s">
        <v>18</v>
      </c>
      <c r="O5" s="3" t="s">
        <v>18</v>
      </c>
      <c r="P5" s="3" t="s">
        <v>18</v>
      </c>
      <c r="Q5" s="3" t="s">
        <v>18</v>
      </c>
      <c r="R5" s="3" t="s">
        <v>18</v>
      </c>
      <c r="S5" s="3" t="s">
        <v>18</v>
      </c>
      <c r="T5" s="9"/>
      <c r="U5" s="3" t="s">
        <v>19</v>
      </c>
      <c r="V5" s="12" t="s">
        <v>19</v>
      </c>
      <c r="W5" s="12" t="s">
        <v>19</v>
      </c>
    </row>
    <row r="6" spans="1:23" x14ac:dyDescent="0.35">
      <c r="A6" s="2" t="s">
        <v>23</v>
      </c>
      <c r="B6" s="3" t="s">
        <v>18</v>
      </c>
      <c r="C6" s="3" t="s">
        <v>18</v>
      </c>
      <c r="D6" s="3" t="s">
        <v>18</v>
      </c>
      <c r="E6" s="3" t="s">
        <v>18</v>
      </c>
      <c r="F6" s="3" t="s">
        <v>18</v>
      </c>
      <c r="G6" s="3" t="s">
        <v>18</v>
      </c>
      <c r="H6" s="3" t="s">
        <v>18</v>
      </c>
      <c r="I6" s="3" t="s">
        <v>18</v>
      </c>
      <c r="J6" s="3" t="s">
        <v>18</v>
      </c>
      <c r="K6" s="3" t="s">
        <v>18</v>
      </c>
      <c r="L6" s="3" t="s">
        <v>18</v>
      </c>
      <c r="M6" s="3" t="s">
        <v>18</v>
      </c>
      <c r="N6" s="3" t="s">
        <v>18</v>
      </c>
      <c r="O6" s="3" t="s">
        <v>18</v>
      </c>
      <c r="P6" s="3" t="s">
        <v>18</v>
      </c>
      <c r="Q6" s="3" t="s">
        <v>18</v>
      </c>
      <c r="R6" s="3" t="s">
        <v>18</v>
      </c>
      <c r="S6" s="9"/>
      <c r="T6" s="3" t="s">
        <v>19</v>
      </c>
      <c r="U6" s="3" t="s">
        <v>19</v>
      </c>
      <c r="V6" s="12" t="s">
        <v>19</v>
      </c>
      <c r="W6" s="12" t="s">
        <v>19</v>
      </c>
    </row>
    <row r="7" spans="1:23" x14ac:dyDescent="0.35">
      <c r="A7" s="2" t="s">
        <v>41</v>
      </c>
      <c r="B7" s="3" t="s">
        <v>18</v>
      </c>
      <c r="C7" s="3" t="s">
        <v>18</v>
      </c>
      <c r="D7" s="3" t="s">
        <v>18</v>
      </c>
      <c r="E7" s="3" t="s">
        <v>18</v>
      </c>
      <c r="F7" s="3" t="s">
        <v>18</v>
      </c>
      <c r="G7" s="3" t="s">
        <v>18</v>
      </c>
      <c r="H7" s="3" t="s">
        <v>18</v>
      </c>
      <c r="I7" s="10" t="s">
        <v>18</v>
      </c>
      <c r="J7" s="3" t="s">
        <v>18</v>
      </c>
      <c r="K7" s="3" t="s">
        <v>18</v>
      </c>
      <c r="L7" s="3" t="s">
        <v>18</v>
      </c>
      <c r="M7" s="3" t="s">
        <v>18</v>
      </c>
      <c r="N7" s="3" t="s">
        <v>18</v>
      </c>
      <c r="O7" s="3" t="s">
        <v>18</v>
      </c>
      <c r="P7" s="3" t="s">
        <v>18</v>
      </c>
      <c r="Q7" s="3" t="s">
        <v>18</v>
      </c>
      <c r="R7" s="9"/>
      <c r="S7" s="3" t="s">
        <v>19</v>
      </c>
      <c r="T7" s="3" t="s">
        <v>19</v>
      </c>
      <c r="U7" s="3" t="s">
        <v>19</v>
      </c>
      <c r="V7" s="12" t="s">
        <v>19</v>
      </c>
      <c r="W7" s="12" t="s">
        <v>19</v>
      </c>
    </row>
    <row r="8" spans="1:23" x14ac:dyDescent="0.35">
      <c r="A8" s="7" t="s">
        <v>31</v>
      </c>
      <c r="B8" s="3" t="s">
        <v>18</v>
      </c>
      <c r="C8" s="3" t="s">
        <v>18</v>
      </c>
      <c r="D8" s="3" t="s">
        <v>18</v>
      </c>
      <c r="E8" s="3" t="s">
        <v>18</v>
      </c>
      <c r="F8" s="3" t="s">
        <v>18</v>
      </c>
      <c r="G8" s="3" t="s">
        <v>18</v>
      </c>
      <c r="H8" s="3" t="s">
        <v>18</v>
      </c>
      <c r="I8" s="10" t="s">
        <v>18</v>
      </c>
      <c r="J8" s="3" t="s">
        <v>18</v>
      </c>
      <c r="K8" s="3" t="s">
        <v>18</v>
      </c>
      <c r="L8" s="3" t="s">
        <v>18</v>
      </c>
      <c r="M8" s="3" t="s">
        <v>18</v>
      </c>
      <c r="N8" s="3" t="s">
        <v>18</v>
      </c>
      <c r="O8" s="3" t="s">
        <v>18</v>
      </c>
      <c r="P8" s="3" t="s">
        <v>18</v>
      </c>
      <c r="Q8" s="9"/>
      <c r="R8" s="3" t="s">
        <v>19</v>
      </c>
      <c r="S8" s="3" t="s">
        <v>19</v>
      </c>
      <c r="T8" s="3" t="s">
        <v>19</v>
      </c>
      <c r="U8" s="3" t="s">
        <v>19</v>
      </c>
      <c r="V8" s="12" t="s">
        <v>19</v>
      </c>
      <c r="W8" s="12" t="s">
        <v>19</v>
      </c>
    </row>
    <row r="9" spans="1:23" x14ac:dyDescent="0.35">
      <c r="A9" s="5" t="s">
        <v>28</v>
      </c>
      <c r="B9" s="3" t="s">
        <v>18</v>
      </c>
      <c r="C9" s="3" t="s">
        <v>18</v>
      </c>
      <c r="D9" s="3" t="s">
        <v>18</v>
      </c>
      <c r="E9" s="3" t="s">
        <v>18</v>
      </c>
      <c r="F9" s="3" t="s">
        <v>18</v>
      </c>
      <c r="G9" s="3" t="s">
        <v>18</v>
      </c>
      <c r="H9" s="3" t="s">
        <v>18</v>
      </c>
      <c r="I9" s="10" t="s">
        <v>18</v>
      </c>
      <c r="J9" s="3" t="s">
        <v>18</v>
      </c>
      <c r="K9" s="3" t="s">
        <v>18</v>
      </c>
      <c r="L9" s="3" t="s">
        <v>18</v>
      </c>
      <c r="M9" s="3" t="s">
        <v>18</v>
      </c>
      <c r="N9" s="3" t="s">
        <v>18</v>
      </c>
      <c r="O9" s="3" t="s">
        <v>18</v>
      </c>
      <c r="P9" s="9"/>
      <c r="Q9" s="3" t="s">
        <v>19</v>
      </c>
      <c r="R9" s="3" t="s">
        <v>19</v>
      </c>
      <c r="S9" s="3" t="s">
        <v>19</v>
      </c>
      <c r="T9" s="3" t="s">
        <v>19</v>
      </c>
      <c r="U9" s="3" t="s">
        <v>19</v>
      </c>
      <c r="V9" s="12" t="s">
        <v>19</v>
      </c>
      <c r="W9" s="12" t="s">
        <v>19</v>
      </c>
    </row>
    <row r="10" spans="1:23" x14ac:dyDescent="0.35">
      <c r="A10" s="5" t="s">
        <v>51</v>
      </c>
      <c r="B10" s="3" t="s">
        <v>18</v>
      </c>
      <c r="C10" s="3" t="s">
        <v>18</v>
      </c>
      <c r="D10" s="3" t="s">
        <v>18</v>
      </c>
      <c r="E10" s="3" t="s">
        <v>18</v>
      </c>
      <c r="F10" s="3" t="s">
        <v>18</v>
      </c>
      <c r="G10" s="3" t="s">
        <v>18</v>
      </c>
      <c r="H10" s="3" t="s">
        <v>18</v>
      </c>
      <c r="I10" s="10" t="s">
        <v>18</v>
      </c>
      <c r="J10" s="3" t="s">
        <v>18</v>
      </c>
      <c r="K10" s="3" t="s">
        <v>18</v>
      </c>
      <c r="L10" s="3" t="s">
        <v>18</v>
      </c>
      <c r="M10" s="3" t="s">
        <v>18</v>
      </c>
      <c r="N10" s="3" t="s">
        <v>18</v>
      </c>
      <c r="O10" s="9"/>
      <c r="P10" s="3" t="s">
        <v>19</v>
      </c>
      <c r="Q10" s="3" t="s">
        <v>19</v>
      </c>
      <c r="R10" s="3" t="s">
        <v>19</v>
      </c>
      <c r="S10" s="3" t="s">
        <v>19</v>
      </c>
      <c r="T10" s="3" t="s">
        <v>19</v>
      </c>
      <c r="U10" s="3" t="s">
        <v>19</v>
      </c>
      <c r="V10" s="12" t="s">
        <v>19</v>
      </c>
      <c r="W10" s="12" t="s">
        <v>19</v>
      </c>
    </row>
    <row r="11" spans="1:23" x14ac:dyDescent="0.35">
      <c r="A11" s="5" t="s">
        <v>30</v>
      </c>
      <c r="B11" s="3" t="s">
        <v>18</v>
      </c>
      <c r="C11" s="3" t="s">
        <v>18</v>
      </c>
      <c r="D11" s="3" t="s">
        <v>18</v>
      </c>
      <c r="E11" s="3" t="s">
        <v>18</v>
      </c>
      <c r="F11" s="3" t="s">
        <v>18</v>
      </c>
      <c r="G11" s="3" t="s">
        <v>18</v>
      </c>
      <c r="H11" s="3" t="s">
        <v>18</v>
      </c>
      <c r="I11" s="10" t="s">
        <v>18</v>
      </c>
      <c r="J11" s="3" t="s">
        <v>18</v>
      </c>
      <c r="K11" s="3" t="s">
        <v>18</v>
      </c>
      <c r="L11" s="3" t="s">
        <v>18</v>
      </c>
      <c r="M11" s="3" t="s">
        <v>18</v>
      </c>
      <c r="N11" s="9"/>
      <c r="O11" s="3" t="s">
        <v>19</v>
      </c>
      <c r="P11" s="3" t="s">
        <v>19</v>
      </c>
      <c r="Q11" s="3" t="s">
        <v>19</v>
      </c>
      <c r="R11" s="3" t="s">
        <v>19</v>
      </c>
      <c r="S11" s="3" t="s">
        <v>19</v>
      </c>
      <c r="T11" s="3" t="s">
        <v>19</v>
      </c>
      <c r="U11" s="3" t="s">
        <v>19</v>
      </c>
      <c r="V11" s="12" t="s">
        <v>19</v>
      </c>
      <c r="W11" s="12" t="s">
        <v>19</v>
      </c>
    </row>
    <row r="12" spans="1:23" x14ac:dyDescent="0.35">
      <c r="A12" s="5" t="s">
        <v>38</v>
      </c>
      <c r="B12" s="3" t="s">
        <v>18</v>
      </c>
      <c r="C12" s="3" t="s">
        <v>18</v>
      </c>
      <c r="D12" s="10" t="s">
        <v>18</v>
      </c>
      <c r="E12" s="3" t="s">
        <v>18</v>
      </c>
      <c r="F12" s="3" t="s">
        <v>18</v>
      </c>
      <c r="G12" s="3" t="s">
        <v>18</v>
      </c>
      <c r="H12" s="3" t="s">
        <v>18</v>
      </c>
      <c r="I12" s="10" t="s">
        <v>18</v>
      </c>
      <c r="J12" s="3" t="s">
        <v>18</v>
      </c>
      <c r="K12" s="3" t="s">
        <v>18</v>
      </c>
      <c r="L12" s="3" t="s">
        <v>18</v>
      </c>
      <c r="M12" s="9"/>
      <c r="N12" s="3" t="s">
        <v>19</v>
      </c>
      <c r="O12" s="3" t="s">
        <v>19</v>
      </c>
      <c r="P12" s="3" t="s">
        <v>19</v>
      </c>
      <c r="Q12" s="3" t="s">
        <v>19</v>
      </c>
      <c r="R12" s="3" t="s">
        <v>19</v>
      </c>
      <c r="S12" s="3" t="s">
        <v>19</v>
      </c>
      <c r="T12" s="3" t="s">
        <v>19</v>
      </c>
      <c r="U12" s="3" t="s">
        <v>19</v>
      </c>
      <c r="V12" s="12" t="s">
        <v>19</v>
      </c>
      <c r="W12" s="12" t="s">
        <v>19</v>
      </c>
    </row>
    <row r="13" spans="1:23" x14ac:dyDescent="0.35">
      <c r="A13" s="5" t="s">
        <v>43</v>
      </c>
      <c r="B13" s="3" t="s">
        <v>18</v>
      </c>
      <c r="C13" s="3" t="s">
        <v>18</v>
      </c>
      <c r="D13" s="3" t="s">
        <v>18</v>
      </c>
      <c r="E13" s="3" t="s">
        <v>18</v>
      </c>
      <c r="F13" s="3" t="s">
        <v>18</v>
      </c>
      <c r="G13" s="3" t="s">
        <v>18</v>
      </c>
      <c r="H13" s="3" t="s">
        <v>18</v>
      </c>
      <c r="I13" s="3" t="s">
        <v>18</v>
      </c>
      <c r="J13" s="3" t="s">
        <v>18</v>
      </c>
      <c r="K13" s="3" t="s">
        <v>18</v>
      </c>
      <c r="L13" s="9"/>
      <c r="M13" s="3" t="s">
        <v>19</v>
      </c>
      <c r="N13" s="3" t="s">
        <v>19</v>
      </c>
      <c r="O13" s="3" t="s">
        <v>19</v>
      </c>
      <c r="P13" s="3" t="s">
        <v>19</v>
      </c>
      <c r="Q13" s="3" t="s">
        <v>19</v>
      </c>
      <c r="R13" s="3" t="s">
        <v>19</v>
      </c>
      <c r="S13" s="3" t="s">
        <v>19</v>
      </c>
      <c r="T13" s="3" t="s">
        <v>19</v>
      </c>
      <c r="U13" s="3" t="s">
        <v>19</v>
      </c>
      <c r="V13" s="12" t="s">
        <v>19</v>
      </c>
      <c r="W13" s="12" t="s">
        <v>19</v>
      </c>
    </row>
    <row r="14" spans="1:23" x14ac:dyDescent="0.35">
      <c r="A14" s="5" t="s">
        <v>50</v>
      </c>
      <c r="B14" s="3" t="s">
        <v>18</v>
      </c>
      <c r="C14" s="3" t="s">
        <v>18</v>
      </c>
      <c r="D14" s="3" t="s">
        <v>18</v>
      </c>
      <c r="E14" s="3" t="s">
        <v>18</v>
      </c>
      <c r="F14" s="3" t="s">
        <v>18</v>
      </c>
      <c r="G14" s="3" t="s">
        <v>18</v>
      </c>
      <c r="H14" s="3" t="s">
        <v>18</v>
      </c>
      <c r="I14" s="3" t="s">
        <v>18</v>
      </c>
      <c r="J14" s="3" t="s">
        <v>18</v>
      </c>
      <c r="K14" s="9"/>
      <c r="L14" s="3" t="s">
        <v>19</v>
      </c>
      <c r="M14" s="3" t="s">
        <v>19</v>
      </c>
      <c r="N14" s="3" t="s">
        <v>19</v>
      </c>
      <c r="O14" s="3" t="s">
        <v>19</v>
      </c>
      <c r="P14" s="3" t="s">
        <v>19</v>
      </c>
      <c r="Q14" s="3" t="s">
        <v>19</v>
      </c>
      <c r="R14" s="3" t="s">
        <v>19</v>
      </c>
      <c r="S14" s="3" t="s">
        <v>19</v>
      </c>
      <c r="T14" s="3" t="s">
        <v>19</v>
      </c>
      <c r="U14" s="3" t="s">
        <v>19</v>
      </c>
      <c r="V14" s="12" t="s">
        <v>19</v>
      </c>
      <c r="W14" s="12" t="s">
        <v>19</v>
      </c>
    </row>
    <row r="15" spans="1:23" x14ac:dyDescent="0.35">
      <c r="A15" s="5" t="s">
        <v>52</v>
      </c>
      <c r="B15" s="3" t="s">
        <v>18</v>
      </c>
      <c r="C15" s="3" t="s">
        <v>18</v>
      </c>
      <c r="D15" s="3" t="s">
        <v>18</v>
      </c>
      <c r="E15" s="3" t="s">
        <v>18</v>
      </c>
      <c r="F15" s="3" t="s">
        <v>18</v>
      </c>
      <c r="G15" s="3" t="s">
        <v>18</v>
      </c>
      <c r="H15" s="3" t="s">
        <v>18</v>
      </c>
      <c r="I15" s="3" t="s">
        <v>18</v>
      </c>
      <c r="J15" s="9"/>
      <c r="K15" s="3" t="s">
        <v>19</v>
      </c>
      <c r="L15" s="3" t="s">
        <v>19</v>
      </c>
      <c r="M15" s="3" t="s">
        <v>19</v>
      </c>
      <c r="N15" s="3" t="s">
        <v>19</v>
      </c>
      <c r="O15" s="3" t="s">
        <v>19</v>
      </c>
      <c r="P15" s="3" t="s">
        <v>19</v>
      </c>
      <c r="Q15" s="3" t="s">
        <v>19</v>
      </c>
      <c r="R15" s="3" t="s">
        <v>19</v>
      </c>
      <c r="S15" s="3" t="s">
        <v>19</v>
      </c>
      <c r="T15" s="3" t="s">
        <v>19</v>
      </c>
      <c r="U15" s="3" t="s">
        <v>19</v>
      </c>
      <c r="V15" s="12" t="s">
        <v>19</v>
      </c>
      <c r="W15" s="12" t="s">
        <v>19</v>
      </c>
    </row>
    <row r="16" spans="1:23" x14ac:dyDescent="0.35">
      <c r="A16" s="7" t="s">
        <v>49</v>
      </c>
      <c r="B16" s="3" t="s">
        <v>18</v>
      </c>
      <c r="C16" s="3" t="s">
        <v>18</v>
      </c>
      <c r="D16" s="3" t="s">
        <v>18</v>
      </c>
      <c r="E16" s="3" t="s">
        <v>18</v>
      </c>
      <c r="F16" s="3" t="s">
        <v>18</v>
      </c>
      <c r="G16" s="3" t="s">
        <v>18</v>
      </c>
      <c r="H16" s="3" t="s">
        <v>18</v>
      </c>
      <c r="I16" s="9"/>
      <c r="J16" s="3" t="s">
        <v>19</v>
      </c>
      <c r="K16" s="3" t="s">
        <v>19</v>
      </c>
      <c r="L16" s="3" t="s">
        <v>19</v>
      </c>
      <c r="M16" s="3" t="s">
        <v>19</v>
      </c>
      <c r="N16" s="3" t="s">
        <v>19</v>
      </c>
      <c r="O16" s="3" t="s">
        <v>19</v>
      </c>
      <c r="P16" s="3" t="s">
        <v>19</v>
      </c>
      <c r="Q16" s="3" t="s">
        <v>19</v>
      </c>
      <c r="R16" s="3" t="s">
        <v>19</v>
      </c>
      <c r="S16" s="3" t="s">
        <v>19</v>
      </c>
      <c r="T16" s="3" t="s">
        <v>19</v>
      </c>
      <c r="U16" s="3" t="s">
        <v>19</v>
      </c>
      <c r="V16" s="12" t="s">
        <v>19</v>
      </c>
      <c r="W16" s="12" t="s">
        <v>19</v>
      </c>
    </row>
    <row r="17" spans="1:23" x14ac:dyDescent="0.35">
      <c r="A17" s="5" t="s">
        <v>24</v>
      </c>
      <c r="B17" s="3" t="s">
        <v>18</v>
      </c>
      <c r="C17" s="3" t="s">
        <v>18</v>
      </c>
      <c r="D17" s="3" t="s">
        <v>18</v>
      </c>
      <c r="E17" s="3" t="s">
        <v>18</v>
      </c>
      <c r="F17" s="3" t="s">
        <v>18</v>
      </c>
      <c r="G17" s="3" t="s">
        <v>18</v>
      </c>
      <c r="H17" s="9"/>
      <c r="I17" s="3" t="s">
        <v>19</v>
      </c>
      <c r="J17" s="3" t="s">
        <v>19</v>
      </c>
      <c r="K17" s="3" t="s">
        <v>19</v>
      </c>
      <c r="L17" s="3" t="s">
        <v>19</v>
      </c>
      <c r="M17" s="3" t="s">
        <v>19</v>
      </c>
      <c r="N17" s="3" t="s">
        <v>19</v>
      </c>
      <c r="O17" s="3" t="s">
        <v>19</v>
      </c>
      <c r="P17" s="3" t="s">
        <v>19</v>
      </c>
      <c r="Q17" s="3" t="s">
        <v>19</v>
      </c>
      <c r="R17" s="3" t="s">
        <v>19</v>
      </c>
      <c r="S17" s="3" t="s">
        <v>19</v>
      </c>
      <c r="T17" s="3" t="s">
        <v>19</v>
      </c>
      <c r="U17" s="3" t="s">
        <v>19</v>
      </c>
      <c r="V17" s="12" t="s">
        <v>19</v>
      </c>
      <c r="W17" s="12" t="s">
        <v>19</v>
      </c>
    </row>
    <row r="18" spans="1:23" x14ac:dyDescent="0.35">
      <c r="A18" s="5" t="s">
        <v>32</v>
      </c>
      <c r="B18" s="3" t="s">
        <v>18</v>
      </c>
      <c r="C18" s="3" t="s">
        <v>18</v>
      </c>
      <c r="D18" s="3" t="s">
        <v>18</v>
      </c>
      <c r="E18" s="3" t="s">
        <v>18</v>
      </c>
      <c r="F18" s="3" t="s">
        <v>18</v>
      </c>
      <c r="G18" s="9"/>
      <c r="H18" s="3" t="s">
        <v>19</v>
      </c>
      <c r="I18" s="3" t="s">
        <v>19</v>
      </c>
      <c r="J18" s="3" t="s">
        <v>19</v>
      </c>
      <c r="K18" s="3" t="s">
        <v>19</v>
      </c>
      <c r="L18" s="3" t="s">
        <v>19</v>
      </c>
      <c r="M18" s="3" t="s">
        <v>19</v>
      </c>
      <c r="N18" s="3" t="s">
        <v>19</v>
      </c>
      <c r="O18" s="3" t="s">
        <v>19</v>
      </c>
      <c r="P18" s="3" t="s">
        <v>19</v>
      </c>
      <c r="Q18" s="3" t="s">
        <v>19</v>
      </c>
      <c r="R18" s="3" t="s">
        <v>19</v>
      </c>
      <c r="S18" s="3" t="s">
        <v>19</v>
      </c>
      <c r="T18" s="3" t="s">
        <v>19</v>
      </c>
      <c r="U18" s="3" t="s">
        <v>19</v>
      </c>
      <c r="V18" s="12" t="s">
        <v>19</v>
      </c>
      <c r="W18" s="12" t="s">
        <v>19</v>
      </c>
    </row>
    <row r="19" spans="1:23" x14ac:dyDescent="0.35">
      <c r="A19" s="6" t="s">
        <v>25</v>
      </c>
      <c r="B19" s="3" t="s">
        <v>18</v>
      </c>
      <c r="C19" s="3" t="s">
        <v>18</v>
      </c>
      <c r="D19" s="3" t="s">
        <v>18</v>
      </c>
      <c r="E19" s="3" t="s">
        <v>18</v>
      </c>
      <c r="F19" s="9"/>
      <c r="G19" s="3" t="s">
        <v>19</v>
      </c>
      <c r="H19" s="3" t="s">
        <v>19</v>
      </c>
      <c r="I19" s="3" t="s">
        <v>19</v>
      </c>
      <c r="J19" s="3" t="s">
        <v>19</v>
      </c>
      <c r="K19" s="3" t="s">
        <v>19</v>
      </c>
      <c r="L19" s="3" t="s">
        <v>19</v>
      </c>
      <c r="M19" s="3" t="s">
        <v>19</v>
      </c>
      <c r="N19" s="3" t="s">
        <v>19</v>
      </c>
      <c r="O19" s="3" t="s">
        <v>19</v>
      </c>
      <c r="P19" s="3" t="s">
        <v>19</v>
      </c>
      <c r="Q19" s="3" t="s">
        <v>19</v>
      </c>
      <c r="R19" s="3" t="s">
        <v>19</v>
      </c>
      <c r="S19" s="3" t="s">
        <v>19</v>
      </c>
      <c r="T19" s="3" t="s">
        <v>19</v>
      </c>
      <c r="U19" s="3" t="s">
        <v>19</v>
      </c>
      <c r="V19" s="12" t="s">
        <v>19</v>
      </c>
      <c r="W19" s="12" t="s">
        <v>19</v>
      </c>
    </row>
    <row r="20" spans="1:23" x14ac:dyDescent="0.35">
      <c r="A20" s="6" t="s">
        <v>35</v>
      </c>
      <c r="B20" s="3" t="s">
        <v>18</v>
      </c>
      <c r="C20" s="3" t="s">
        <v>18</v>
      </c>
      <c r="D20" s="3" t="s">
        <v>18</v>
      </c>
      <c r="E20" s="9"/>
      <c r="F20" s="3" t="s">
        <v>19</v>
      </c>
      <c r="G20" s="3" t="s">
        <v>19</v>
      </c>
      <c r="H20" s="3" t="s">
        <v>19</v>
      </c>
      <c r="I20" s="3" t="s">
        <v>19</v>
      </c>
      <c r="J20" s="3" t="s">
        <v>19</v>
      </c>
      <c r="K20" s="3" t="s">
        <v>19</v>
      </c>
      <c r="L20" s="3" t="s">
        <v>19</v>
      </c>
      <c r="M20" s="3" t="s">
        <v>19</v>
      </c>
      <c r="N20" s="3" t="s">
        <v>19</v>
      </c>
      <c r="O20" s="3" t="s">
        <v>19</v>
      </c>
      <c r="P20" s="3" t="s">
        <v>19</v>
      </c>
      <c r="Q20" s="3" t="s">
        <v>19</v>
      </c>
      <c r="R20" s="3" t="s">
        <v>19</v>
      </c>
      <c r="S20" s="3" t="s">
        <v>19</v>
      </c>
      <c r="T20" s="3" t="s">
        <v>19</v>
      </c>
      <c r="U20" s="3" t="s">
        <v>19</v>
      </c>
      <c r="V20" s="12" t="s">
        <v>19</v>
      </c>
      <c r="W20" s="12" t="s">
        <v>19</v>
      </c>
    </row>
    <row r="21" spans="1:23" x14ac:dyDescent="0.35">
      <c r="A21" s="5" t="s">
        <v>27</v>
      </c>
      <c r="B21" s="3" t="s">
        <v>18</v>
      </c>
      <c r="C21" s="3" t="s">
        <v>18</v>
      </c>
      <c r="D21" s="9"/>
      <c r="E21" s="3" t="s">
        <v>19</v>
      </c>
      <c r="F21" s="3" t="s">
        <v>19</v>
      </c>
      <c r="G21" s="3" t="s">
        <v>19</v>
      </c>
      <c r="H21" s="3" t="s">
        <v>19</v>
      </c>
      <c r="I21" s="3" t="s">
        <v>19</v>
      </c>
      <c r="J21" s="3" t="s">
        <v>19</v>
      </c>
      <c r="K21" s="3" t="s">
        <v>19</v>
      </c>
      <c r="L21" s="3" t="s">
        <v>19</v>
      </c>
      <c r="M21" s="3" t="s">
        <v>19</v>
      </c>
      <c r="N21" s="3" t="s">
        <v>19</v>
      </c>
      <c r="O21" s="3" t="s">
        <v>19</v>
      </c>
      <c r="P21" s="3" t="s">
        <v>19</v>
      </c>
      <c r="Q21" s="3" t="s">
        <v>19</v>
      </c>
      <c r="R21" s="3" t="s">
        <v>19</v>
      </c>
      <c r="S21" s="3" t="s">
        <v>19</v>
      </c>
      <c r="T21" s="3" t="s">
        <v>19</v>
      </c>
      <c r="U21" s="3" t="s">
        <v>19</v>
      </c>
      <c r="V21" s="12" t="s">
        <v>19</v>
      </c>
      <c r="W21" s="12" t="s">
        <v>19</v>
      </c>
    </row>
    <row r="22" spans="1:23" x14ac:dyDescent="0.35">
      <c r="A22" s="8" t="s">
        <v>42</v>
      </c>
      <c r="B22" s="3" t="s">
        <v>18</v>
      </c>
      <c r="C22" s="9"/>
      <c r="D22" s="3" t="s">
        <v>19</v>
      </c>
      <c r="E22" s="3" t="s">
        <v>19</v>
      </c>
      <c r="F22" s="3" t="s">
        <v>19</v>
      </c>
      <c r="G22" s="3" t="s">
        <v>19</v>
      </c>
      <c r="H22" s="3" t="s">
        <v>19</v>
      </c>
      <c r="I22" s="3" t="s">
        <v>19</v>
      </c>
      <c r="J22" s="3" t="s">
        <v>19</v>
      </c>
      <c r="K22" s="3" t="s">
        <v>19</v>
      </c>
      <c r="L22" s="3" t="s">
        <v>19</v>
      </c>
      <c r="M22" s="3" t="s">
        <v>19</v>
      </c>
      <c r="N22" s="3" t="s">
        <v>19</v>
      </c>
      <c r="O22" s="3" t="s">
        <v>19</v>
      </c>
      <c r="P22" s="3" t="s">
        <v>19</v>
      </c>
      <c r="Q22" s="3" t="s">
        <v>19</v>
      </c>
      <c r="R22" s="3" t="s">
        <v>19</v>
      </c>
      <c r="S22" s="3" t="s">
        <v>19</v>
      </c>
      <c r="T22" s="3" t="s">
        <v>19</v>
      </c>
      <c r="U22" s="3" t="s">
        <v>19</v>
      </c>
      <c r="V22" s="12" t="s">
        <v>19</v>
      </c>
      <c r="W22" s="12" t="s">
        <v>19</v>
      </c>
    </row>
    <row r="23" spans="1:23" x14ac:dyDescent="0.35">
      <c r="A23" s="6" t="s">
        <v>26</v>
      </c>
      <c r="B23" s="9"/>
      <c r="C23" s="3" t="s">
        <v>19</v>
      </c>
      <c r="D23" s="3" t="s">
        <v>19</v>
      </c>
      <c r="E23" s="3" t="s">
        <v>19</v>
      </c>
      <c r="F23" s="3" t="s">
        <v>19</v>
      </c>
      <c r="G23" s="3" t="s">
        <v>19</v>
      </c>
      <c r="H23" s="3" t="s">
        <v>19</v>
      </c>
      <c r="I23" s="3" t="s">
        <v>19</v>
      </c>
      <c r="J23" s="3" t="s">
        <v>19</v>
      </c>
      <c r="K23" s="3" t="s">
        <v>19</v>
      </c>
      <c r="L23" s="3" t="s">
        <v>19</v>
      </c>
      <c r="M23" s="3" t="s">
        <v>19</v>
      </c>
      <c r="N23" s="3" t="s">
        <v>19</v>
      </c>
      <c r="O23" s="3" t="s">
        <v>19</v>
      </c>
      <c r="P23" s="3" t="s">
        <v>19</v>
      </c>
      <c r="Q23" s="3" t="s">
        <v>19</v>
      </c>
      <c r="R23" s="3" t="s">
        <v>19</v>
      </c>
      <c r="S23" s="3" t="s">
        <v>19</v>
      </c>
      <c r="T23" s="3" t="s">
        <v>19</v>
      </c>
      <c r="U23" s="3" t="s">
        <v>19</v>
      </c>
      <c r="V23" s="12" t="s">
        <v>19</v>
      </c>
      <c r="W23" s="12" t="s">
        <v>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35EC8-31E2-488A-984B-A14F1844B4AB}">
  <dimension ref="A1:AA27"/>
  <sheetViews>
    <sheetView workbookViewId="0">
      <pane xSplit="1" ySplit="1" topLeftCell="G21" activePane="bottomRight" state="frozen"/>
      <selection pane="topRight" activeCell="A27" sqref="A27:X50"/>
      <selection pane="bottomLeft" activeCell="A27" sqref="A27:X50"/>
      <selection pane="bottomRight" activeCell="A27" sqref="A27:X50"/>
    </sheetView>
  </sheetViews>
  <sheetFormatPr defaultRowHeight="14.5" x14ac:dyDescent="0.35"/>
  <cols>
    <col min="1" max="1" width="28.54296875" bestFit="1" customWidth="1"/>
  </cols>
  <sheetData>
    <row r="1" spans="1:23" ht="58" x14ac:dyDescent="0.35">
      <c r="A1" s="11"/>
      <c r="B1" s="11" t="s">
        <v>26</v>
      </c>
      <c r="C1" s="11" t="s">
        <v>54</v>
      </c>
      <c r="D1" s="11" t="s">
        <v>27</v>
      </c>
      <c r="E1" s="11" t="s">
        <v>35</v>
      </c>
      <c r="F1" s="11" t="s">
        <v>55</v>
      </c>
      <c r="G1" s="11" t="s">
        <v>32</v>
      </c>
      <c r="H1" s="11" t="s">
        <v>56</v>
      </c>
      <c r="I1" s="11" t="s">
        <v>49</v>
      </c>
      <c r="J1" s="11" t="s">
        <v>52</v>
      </c>
      <c r="K1" s="11" t="s">
        <v>50</v>
      </c>
      <c r="L1" s="11" t="s">
        <v>43</v>
      </c>
      <c r="M1" s="11" t="s">
        <v>38</v>
      </c>
      <c r="N1" s="11" t="s">
        <v>30</v>
      </c>
      <c r="O1" s="11" t="s">
        <v>51</v>
      </c>
      <c r="P1" s="11" t="s">
        <v>28</v>
      </c>
      <c r="Q1" s="11" t="s">
        <v>31</v>
      </c>
      <c r="R1" s="11" t="s">
        <v>41</v>
      </c>
      <c r="S1" s="11" t="s">
        <v>23</v>
      </c>
      <c r="T1" s="11" t="s">
        <v>40</v>
      </c>
      <c r="U1" s="11" t="s">
        <v>53</v>
      </c>
      <c r="V1" s="11" t="s">
        <v>57</v>
      </c>
      <c r="W1" s="11" t="s">
        <v>33</v>
      </c>
    </row>
    <row r="2" spans="1:23" x14ac:dyDescent="0.35">
      <c r="A2" s="2" t="s">
        <v>33</v>
      </c>
      <c r="B2" s="3">
        <v>1</v>
      </c>
      <c r="C2" s="3">
        <v>1</v>
      </c>
      <c r="D2" s="3">
        <v>1</v>
      </c>
      <c r="E2" s="3" t="s">
        <v>18</v>
      </c>
      <c r="F2" s="3">
        <v>1</v>
      </c>
      <c r="G2" s="3" t="s">
        <v>18</v>
      </c>
      <c r="H2" s="3">
        <v>1</v>
      </c>
      <c r="I2" s="3" t="s">
        <v>18</v>
      </c>
      <c r="J2" s="3" t="s">
        <v>18</v>
      </c>
      <c r="K2" s="3" t="s">
        <v>18</v>
      </c>
      <c r="L2" s="3" t="s">
        <v>18</v>
      </c>
      <c r="M2" s="3" t="s">
        <v>18</v>
      </c>
      <c r="N2" s="3" t="s">
        <v>18</v>
      </c>
      <c r="O2" s="3" t="s">
        <v>18</v>
      </c>
      <c r="P2" s="3" t="s">
        <v>18</v>
      </c>
      <c r="Q2" s="3" t="s">
        <v>18</v>
      </c>
      <c r="R2" s="3" t="s">
        <v>18</v>
      </c>
      <c r="S2" s="3" t="s">
        <v>18</v>
      </c>
      <c r="T2" s="3" t="s">
        <v>18</v>
      </c>
      <c r="U2" s="3" t="s">
        <v>18</v>
      </c>
      <c r="V2" s="12" t="s">
        <v>18</v>
      </c>
      <c r="W2" s="13">
        <v>0</v>
      </c>
    </row>
    <row r="3" spans="1:23" x14ac:dyDescent="0.35">
      <c r="A3" s="2" t="s">
        <v>57</v>
      </c>
      <c r="B3" s="3">
        <v>1</v>
      </c>
      <c r="C3" s="3">
        <v>1</v>
      </c>
      <c r="D3" s="3">
        <v>1</v>
      </c>
      <c r="E3" s="3" t="s">
        <v>18</v>
      </c>
      <c r="F3" s="3">
        <v>1</v>
      </c>
      <c r="G3" s="3" t="s">
        <v>18</v>
      </c>
      <c r="H3" s="3">
        <v>1</v>
      </c>
      <c r="I3" s="3" t="s">
        <v>18</v>
      </c>
      <c r="J3" s="3" t="s">
        <v>18</v>
      </c>
      <c r="K3" s="3" t="s">
        <v>18</v>
      </c>
      <c r="L3" s="3" t="s">
        <v>18</v>
      </c>
      <c r="M3" s="3" t="s">
        <v>18</v>
      </c>
      <c r="N3" s="3" t="s">
        <v>18</v>
      </c>
      <c r="O3" s="3" t="s">
        <v>18</v>
      </c>
      <c r="P3" s="3" t="s">
        <v>18</v>
      </c>
      <c r="Q3" s="3" t="s">
        <v>18</v>
      </c>
      <c r="R3" s="3" t="s">
        <v>18</v>
      </c>
      <c r="S3" s="3" t="s">
        <v>18</v>
      </c>
      <c r="T3" s="3" t="s">
        <v>18</v>
      </c>
      <c r="U3" s="3" t="s">
        <v>18</v>
      </c>
      <c r="V3" s="13">
        <v>0</v>
      </c>
      <c r="W3" s="12" t="s">
        <v>19</v>
      </c>
    </row>
    <row r="4" spans="1:23" x14ac:dyDescent="0.35">
      <c r="A4" s="2" t="s">
        <v>53</v>
      </c>
      <c r="B4" s="3">
        <v>1</v>
      </c>
      <c r="C4" s="3">
        <v>1</v>
      </c>
      <c r="D4" s="3">
        <v>1</v>
      </c>
      <c r="E4" s="3" t="s">
        <v>18</v>
      </c>
      <c r="F4" s="3">
        <v>1</v>
      </c>
      <c r="G4" s="3" t="s">
        <v>18</v>
      </c>
      <c r="H4" s="3">
        <v>1</v>
      </c>
      <c r="I4" s="3" t="s">
        <v>18</v>
      </c>
      <c r="J4" s="3" t="s">
        <v>18</v>
      </c>
      <c r="K4" s="3" t="s">
        <v>18</v>
      </c>
      <c r="L4" s="3" t="s">
        <v>18</v>
      </c>
      <c r="M4" s="3" t="s">
        <v>18</v>
      </c>
      <c r="N4" s="3" t="s">
        <v>18</v>
      </c>
      <c r="O4" s="3" t="s">
        <v>18</v>
      </c>
      <c r="P4" s="3" t="s">
        <v>18</v>
      </c>
      <c r="Q4" s="3" t="s">
        <v>18</v>
      </c>
      <c r="R4" s="3" t="s">
        <v>18</v>
      </c>
      <c r="S4" s="3" t="s">
        <v>18</v>
      </c>
      <c r="T4" s="3" t="s">
        <v>18</v>
      </c>
      <c r="U4" s="9">
        <v>0</v>
      </c>
      <c r="V4" s="12" t="s">
        <v>19</v>
      </c>
      <c r="W4" s="12" t="s">
        <v>19</v>
      </c>
    </row>
    <row r="5" spans="1:23" x14ac:dyDescent="0.35">
      <c r="A5" s="2" t="s">
        <v>40</v>
      </c>
      <c r="B5" s="3">
        <v>1</v>
      </c>
      <c r="C5" s="3">
        <v>1</v>
      </c>
      <c r="D5" s="3">
        <v>1</v>
      </c>
      <c r="E5" s="3" t="s">
        <v>18</v>
      </c>
      <c r="F5" s="3">
        <v>1</v>
      </c>
      <c r="G5" s="3" t="s">
        <v>18</v>
      </c>
      <c r="H5" s="3">
        <v>1</v>
      </c>
      <c r="I5" s="3" t="s">
        <v>18</v>
      </c>
      <c r="J5" s="3" t="s">
        <v>18</v>
      </c>
      <c r="K5" s="3" t="s">
        <v>18</v>
      </c>
      <c r="L5" s="3" t="s">
        <v>18</v>
      </c>
      <c r="M5" s="3" t="s">
        <v>18</v>
      </c>
      <c r="N5" s="3" t="s">
        <v>18</v>
      </c>
      <c r="O5" s="3" t="s">
        <v>18</v>
      </c>
      <c r="P5" s="3" t="s">
        <v>18</v>
      </c>
      <c r="Q5" s="3" t="s">
        <v>18</v>
      </c>
      <c r="R5" s="3" t="s">
        <v>18</v>
      </c>
      <c r="S5" s="3" t="s">
        <v>18</v>
      </c>
      <c r="T5" s="9">
        <v>0</v>
      </c>
      <c r="U5" s="3" t="s">
        <v>19</v>
      </c>
      <c r="V5" s="12" t="s">
        <v>19</v>
      </c>
      <c r="W5" s="12" t="s">
        <v>19</v>
      </c>
    </row>
    <row r="6" spans="1:23" x14ac:dyDescent="0.35">
      <c r="A6" s="2" t="s">
        <v>23</v>
      </c>
      <c r="B6" s="3">
        <v>1</v>
      </c>
      <c r="C6" s="3">
        <v>1</v>
      </c>
      <c r="D6" s="3">
        <v>1</v>
      </c>
      <c r="E6" s="3" t="s">
        <v>18</v>
      </c>
      <c r="F6" s="3">
        <v>1</v>
      </c>
      <c r="G6" s="3" t="s">
        <v>18</v>
      </c>
      <c r="H6" s="3">
        <v>1</v>
      </c>
      <c r="I6" s="3" t="s">
        <v>18</v>
      </c>
      <c r="J6" s="3" t="s">
        <v>18</v>
      </c>
      <c r="K6" s="3" t="s">
        <v>18</v>
      </c>
      <c r="L6" s="3" t="s">
        <v>18</v>
      </c>
      <c r="M6" s="3" t="s">
        <v>18</v>
      </c>
      <c r="N6" s="3" t="s">
        <v>18</v>
      </c>
      <c r="O6" s="3" t="s">
        <v>18</v>
      </c>
      <c r="P6" s="3" t="s">
        <v>18</v>
      </c>
      <c r="Q6" s="3" t="s">
        <v>18</v>
      </c>
      <c r="R6" s="3" t="s">
        <v>18</v>
      </c>
      <c r="S6" s="9">
        <v>0</v>
      </c>
      <c r="T6" s="3" t="s">
        <v>19</v>
      </c>
      <c r="U6" s="3" t="s">
        <v>18</v>
      </c>
      <c r="V6" s="12" t="s">
        <v>19</v>
      </c>
      <c r="W6" s="12" t="s">
        <v>19</v>
      </c>
    </row>
    <row r="7" spans="1:23" x14ac:dyDescent="0.35">
      <c r="A7" s="2" t="s">
        <v>41</v>
      </c>
      <c r="B7" s="3">
        <v>1</v>
      </c>
      <c r="C7" s="3">
        <v>1</v>
      </c>
      <c r="D7" s="3">
        <v>1</v>
      </c>
      <c r="E7" s="3" t="s">
        <v>18</v>
      </c>
      <c r="F7" s="3">
        <v>1</v>
      </c>
      <c r="G7" s="3" t="s">
        <v>18</v>
      </c>
      <c r="H7" s="3">
        <v>1</v>
      </c>
      <c r="I7" s="10" t="s">
        <v>18</v>
      </c>
      <c r="J7" s="3" t="s">
        <v>18</v>
      </c>
      <c r="K7" s="3" t="s">
        <v>18</v>
      </c>
      <c r="L7" s="3" t="s">
        <v>18</v>
      </c>
      <c r="M7" s="3" t="s">
        <v>18</v>
      </c>
      <c r="N7" s="3" t="s">
        <v>18</v>
      </c>
      <c r="O7" s="3" t="s">
        <v>18</v>
      </c>
      <c r="P7" s="3" t="s">
        <v>18</v>
      </c>
      <c r="Q7" s="3" t="s">
        <v>18</v>
      </c>
      <c r="R7" s="9">
        <v>0</v>
      </c>
      <c r="S7" s="3" t="s">
        <v>18</v>
      </c>
      <c r="T7" s="3" t="s">
        <v>19</v>
      </c>
      <c r="U7" s="3" t="s">
        <v>19</v>
      </c>
      <c r="V7" s="12" t="s">
        <v>19</v>
      </c>
      <c r="W7" s="12" t="s">
        <v>19</v>
      </c>
    </row>
    <row r="8" spans="1:23" x14ac:dyDescent="0.35">
      <c r="A8" s="7" t="s">
        <v>31</v>
      </c>
      <c r="B8" s="3">
        <v>1</v>
      </c>
      <c r="C8" s="3">
        <v>1</v>
      </c>
      <c r="D8" s="3">
        <v>1</v>
      </c>
      <c r="E8" s="3" t="s">
        <v>18</v>
      </c>
      <c r="F8" s="3">
        <v>1</v>
      </c>
      <c r="G8" s="3" t="s">
        <v>18</v>
      </c>
      <c r="H8" s="3">
        <v>1</v>
      </c>
      <c r="I8" s="10" t="s">
        <v>18</v>
      </c>
      <c r="J8" s="3" t="s">
        <v>18</v>
      </c>
      <c r="K8" s="3" t="s">
        <v>18</v>
      </c>
      <c r="L8" s="3" t="s">
        <v>18</v>
      </c>
      <c r="M8" s="3" t="s">
        <v>18</v>
      </c>
      <c r="N8" s="3" t="s">
        <v>18</v>
      </c>
      <c r="O8" s="3" t="s">
        <v>18</v>
      </c>
      <c r="P8" s="3" t="s">
        <v>18</v>
      </c>
      <c r="Q8" s="9">
        <v>0</v>
      </c>
      <c r="R8" s="3" t="s">
        <v>19</v>
      </c>
      <c r="S8" s="3" t="s">
        <v>19</v>
      </c>
      <c r="T8" s="3" t="s">
        <v>19</v>
      </c>
      <c r="U8" s="3" t="s">
        <v>19</v>
      </c>
      <c r="V8" s="12" t="s">
        <v>19</v>
      </c>
      <c r="W8" s="12" t="s">
        <v>19</v>
      </c>
    </row>
    <row r="9" spans="1:23" x14ac:dyDescent="0.35">
      <c r="A9" s="5" t="s">
        <v>28</v>
      </c>
      <c r="B9" s="3">
        <v>1</v>
      </c>
      <c r="C9" s="3">
        <v>1</v>
      </c>
      <c r="D9" s="3">
        <v>1</v>
      </c>
      <c r="E9" s="3" t="s">
        <v>18</v>
      </c>
      <c r="F9" s="3">
        <v>1</v>
      </c>
      <c r="G9" s="3" t="s">
        <v>18</v>
      </c>
      <c r="H9" s="3">
        <v>1</v>
      </c>
      <c r="I9" s="10" t="s">
        <v>18</v>
      </c>
      <c r="J9" s="3" t="s">
        <v>18</v>
      </c>
      <c r="K9" s="3" t="s">
        <v>18</v>
      </c>
      <c r="L9" s="3" t="s">
        <v>18</v>
      </c>
      <c r="M9" s="3" t="s">
        <v>18</v>
      </c>
      <c r="N9" s="3" t="s">
        <v>18</v>
      </c>
      <c r="O9" s="3" t="s">
        <v>18</v>
      </c>
      <c r="P9" s="9">
        <v>0</v>
      </c>
      <c r="Q9" s="3" t="s">
        <v>19</v>
      </c>
      <c r="R9" s="3" t="s">
        <v>19</v>
      </c>
      <c r="S9" s="3" t="s">
        <v>18</v>
      </c>
      <c r="T9" s="3" t="s">
        <v>19</v>
      </c>
      <c r="U9" s="3" t="s">
        <v>19</v>
      </c>
      <c r="V9" s="12" t="s">
        <v>19</v>
      </c>
      <c r="W9" s="12" t="s">
        <v>19</v>
      </c>
    </row>
    <row r="10" spans="1:23" x14ac:dyDescent="0.35">
      <c r="A10" s="5" t="s">
        <v>51</v>
      </c>
      <c r="B10" s="3">
        <v>1</v>
      </c>
      <c r="C10" s="3">
        <v>1</v>
      </c>
      <c r="D10" s="3">
        <v>1</v>
      </c>
      <c r="E10" s="3" t="s">
        <v>18</v>
      </c>
      <c r="F10" s="3">
        <v>1</v>
      </c>
      <c r="G10" s="3" t="s">
        <v>18</v>
      </c>
      <c r="H10" s="3">
        <v>1</v>
      </c>
      <c r="I10" s="10" t="s">
        <v>18</v>
      </c>
      <c r="J10" s="3" t="s">
        <v>18</v>
      </c>
      <c r="K10" s="3" t="s">
        <v>18</v>
      </c>
      <c r="L10" s="3" t="s">
        <v>18</v>
      </c>
      <c r="M10" s="3" t="s">
        <v>18</v>
      </c>
      <c r="N10" s="3" t="s">
        <v>18</v>
      </c>
      <c r="O10" s="9">
        <v>0</v>
      </c>
      <c r="P10" s="3" t="s">
        <v>19</v>
      </c>
      <c r="Q10" s="3" t="s">
        <v>19</v>
      </c>
      <c r="R10" s="3" t="s">
        <v>19</v>
      </c>
      <c r="S10" s="3" t="s">
        <v>18</v>
      </c>
      <c r="T10" s="3" t="s">
        <v>19</v>
      </c>
      <c r="U10" s="3" t="s">
        <v>19</v>
      </c>
      <c r="V10" s="12" t="s">
        <v>19</v>
      </c>
      <c r="W10" s="12" t="s">
        <v>19</v>
      </c>
    </row>
    <row r="11" spans="1:23" x14ac:dyDescent="0.35">
      <c r="A11" s="5" t="s">
        <v>30</v>
      </c>
      <c r="B11" s="3">
        <v>1</v>
      </c>
      <c r="C11" s="3">
        <v>1</v>
      </c>
      <c r="D11" s="3">
        <v>1</v>
      </c>
      <c r="E11" s="3" t="s">
        <v>18</v>
      </c>
      <c r="F11" s="3">
        <v>1</v>
      </c>
      <c r="G11" s="3" t="s">
        <v>18</v>
      </c>
      <c r="H11" s="3">
        <v>1</v>
      </c>
      <c r="I11" s="10" t="s">
        <v>18</v>
      </c>
      <c r="J11" s="3" t="s">
        <v>18</v>
      </c>
      <c r="K11" s="3" t="s">
        <v>18</v>
      </c>
      <c r="L11" s="3" t="s">
        <v>18</v>
      </c>
      <c r="M11" s="3" t="s">
        <v>18</v>
      </c>
      <c r="N11" s="9">
        <v>0</v>
      </c>
      <c r="O11" s="3" t="s">
        <v>18</v>
      </c>
      <c r="P11" s="3" t="s">
        <v>19</v>
      </c>
      <c r="Q11" s="3" t="s">
        <v>19</v>
      </c>
      <c r="R11" s="3" t="s">
        <v>19</v>
      </c>
      <c r="S11" s="3" t="s">
        <v>19</v>
      </c>
      <c r="T11" s="3" t="s">
        <v>19</v>
      </c>
      <c r="U11" s="3" t="s">
        <v>19</v>
      </c>
      <c r="V11" s="12" t="s">
        <v>19</v>
      </c>
      <c r="W11" s="12" t="s">
        <v>19</v>
      </c>
    </row>
    <row r="12" spans="1:23" x14ac:dyDescent="0.35">
      <c r="A12" s="5" t="s">
        <v>38</v>
      </c>
      <c r="B12" s="3">
        <v>1</v>
      </c>
      <c r="C12" s="3">
        <v>1</v>
      </c>
      <c r="D12" s="10">
        <v>1</v>
      </c>
      <c r="E12" s="3" t="s">
        <v>18</v>
      </c>
      <c r="F12" s="3">
        <v>1</v>
      </c>
      <c r="G12" s="3" t="s">
        <v>18</v>
      </c>
      <c r="H12" s="3">
        <v>1</v>
      </c>
      <c r="I12" s="10" t="s">
        <v>18</v>
      </c>
      <c r="J12" s="3" t="s">
        <v>18</v>
      </c>
      <c r="K12" s="3" t="s">
        <v>18</v>
      </c>
      <c r="L12" s="3" t="s">
        <v>18</v>
      </c>
      <c r="M12" s="9">
        <v>0</v>
      </c>
      <c r="N12" s="3" t="s">
        <v>19</v>
      </c>
      <c r="O12" s="3" t="s">
        <v>18</v>
      </c>
      <c r="P12" s="3" t="s">
        <v>19</v>
      </c>
      <c r="Q12" s="3" t="s">
        <v>19</v>
      </c>
      <c r="R12" s="3" t="s">
        <v>19</v>
      </c>
      <c r="S12" s="3" t="s">
        <v>19</v>
      </c>
      <c r="T12" s="3" t="s">
        <v>19</v>
      </c>
      <c r="U12" s="3" t="s">
        <v>18</v>
      </c>
      <c r="V12" s="12" t="s">
        <v>19</v>
      </c>
      <c r="W12" s="12" t="s">
        <v>19</v>
      </c>
    </row>
    <row r="13" spans="1:23" x14ac:dyDescent="0.35">
      <c r="A13" s="5" t="s">
        <v>43</v>
      </c>
      <c r="B13" s="3">
        <v>1</v>
      </c>
      <c r="C13" s="3">
        <v>1</v>
      </c>
      <c r="D13" s="3">
        <v>1</v>
      </c>
      <c r="E13" s="3" t="s">
        <v>18</v>
      </c>
      <c r="F13" s="3">
        <v>1</v>
      </c>
      <c r="G13" s="3" t="s">
        <v>18</v>
      </c>
      <c r="H13" s="3">
        <v>1</v>
      </c>
      <c r="I13" s="3" t="s">
        <v>18</v>
      </c>
      <c r="J13" s="3" t="s">
        <v>18</v>
      </c>
      <c r="K13" s="3" t="s">
        <v>18</v>
      </c>
      <c r="L13" s="9">
        <v>0</v>
      </c>
      <c r="M13" s="3" t="s">
        <v>19</v>
      </c>
      <c r="N13" s="3" t="s">
        <v>19</v>
      </c>
      <c r="O13" s="3" t="s">
        <v>18</v>
      </c>
      <c r="P13" s="3" t="s">
        <v>19</v>
      </c>
      <c r="Q13" s="3" t="s">
        <v>19</v>
      </c>
      <c r="R13" s="3" t="s">
        <v>19</v>
      </c>
      <c r="S13" s="3" t="s">
        <v>19</v>
      </c>
      <c r="T13" s="3" t="s">
        <v>19</v>
      </c>
      <c r="U13" s="3" t="s">
        <v>18</v>
      </c>
      <c r="V13" s="12" t="s">
        <v>19</v>
      </c>
      <c r="W13" s="12" t="s">
        <v>19</v>
      </c>
    </row>
    <row r="14" spans="1:23" x14ac:dyDescent="0.35">
      <c r="A14" s="5" t="s">
        <v>50</v>
      </c>
      <c r="B14" s="3">
        <v>1</v>
      </c>
      <c r="C14" s="3">
        <v>1</v>
      </c>
      <c r="D14" s="3">
        <v>1</v>
      </c>
      <c r="E14" s="3" t="s">
        <v>18</v>
      </c>
      <c r="F14" s="3">
        <v>1</v>
      </c>
      <c r="G14" s="3" t="s">
        <v>18</v>
      </c>
      <c r="H14" s="3">
        <v>1</v>
      </c>
      <c r="I14" s="3" t="s">
        <v>18</v>
      </c>
      <c r="J14" s="3" t="s">
        <v>18</v>
      </c>
      <c r="K14" s="9">
        <v>0</v>
      </c>
      <c r="L14" s="3" t="s">
        <v>19</v>
      </c>
      <c r="M14" s="3" t="s">
        <v>19</v>
      </c>
      <c r="N14" s="3" t="s">
        <v>19</v>
      </c>
      <c r="O14" s="3" t="s">
        <v>18</v>
      </c>
      <c r="P14" s="3" t="s">
        <v>19</v>
      </c>
      <c r="Q14" s="3" t="s">
        <v>19</v>
      </c>
      <c r="R14" s="3" t="s">
        <v>19</v>
      </c>
      <c r="S14" s="3" t="s">
        <v>19</v>
      </c>
      <c r="T14" s="3" t="s">
        <v>19</v>
      </c>
      <c r="U14" s="3" t="s">
        <v>18</v>
      </c>
      <c r="V14" s="12" t="s">
        <v>19</v>
      </c>
      <c r="W14" s="12" t="s">
        <v>19</v>
      </c>
    </row>
    <row r="15" spans="1:23" x14ac:dyDescent="0.35">
      <c r="A15" s="5" t="s">
        <v>52</v>
      </c>
      <c r="B15" s="3">
        <v>1</v>
      </c>
      <c r="C15" s="3">
        <v>1</v>
      </c>
      <c r="D15" s="3">
        <v>1</v>
      </c>
      <c r="E15" s="3" t="s">
        <v>18</v>
      </c>
      <c r="F15" s="3">
        <v>1</v>
      </c>
      <c r="G15" s="3" t="s">
        <v>18</v>
      </c>
      <c r="H15" s="3">
        <v>1</v>
      </c>
      <c r="I15" s="3" t="s">
        <v>18</v>
      </c>
      <c r="J15" s="9">
        <v>0</v>
      </c>
      <c r="K15" s="3" t="s">
        <v>18</v>
      </c>
      <c r="L15" s="3" t="s">
        <v>18</v>
      </c>
      <c r="M15" s="3" t="s">
        <v>18</v>
      </c>
      <c r="N15" s="3" t="s">
        <v>18</v>
      </c>
      <c r="O15" s="3" t="s">
        <v>19</v>
      </c>
      <c r="P15" s="3" t="s">
        <v>19</v>
      </c>
      <c r="Q15" s="3" t="s">
        <v>19</v>
      </c>
      <c r="R15" s="3" t="s">
        <v>19</v>
      </c>
      <c r="S15" s="3" t="s">
        <v>18</v>
      </c>
      <c r="T15" s="3" t="s">
        <v>19</v>
      </c>
      <c r="U15" s="3" t="s">
        <v>19</v>
      </c>
      <c r="V15" s="12" t="s">
        <v>19</v>
      </c>
      <c r="W15" s="12" t="s">
        <v>19</v>
      </c>
    </row>
    <row r="16" spans="1:23" x14ac:dyDescent="0.35">
      <c r="A16" s="7" t="s">
        <v>49</v>
      </c>
      <c r="B16" s="3">
        <v>1</v>
      </c>
      <c r="C16" s="3">
        <v>1</v>
      </c>
      <c r="D16" s="3">
        <v>1</v>
      </c>
      <c r="E16" s="3" t="s">
        <v>18</v>
      </c>
      <c r="F16" s="3">
        <v>1</v>
      </c>
      <c r="G16" s="3" t="s">
        <v>18</v>
      </c>
      <c r="H16" s="3">
        <v>1</v>
      </c>
      <c r="I16" s="9">
        <v>0</v>
      </c>
      <c r="J16" s="3" t="s">
        <v>19</v>
      </c>
      <c r="K16" s="3" t="s">
        <v>18</v>
      </c>
      <c r="L16" s="3" t="s">
        <v>18</v>
      </c>
      <c r="M16" s="3" t="s">
        <v>18</v>
      </c>
      <c r="N16" s="3" t="s">
        <v>18</v>
      </c>
      <c r="O16" s="3" t="s">
        <v>19</v>
      </c>
      <c r="P16" s="3" t="s">
        <v>19</v>
      </c>
      <c r="Q16" s="3" t="s">
        <v>19</v>
      </c>
      <c r="R16" s="3" t="s">
        <v>19</v>
      </c>
      <c r="S16" s="3" t="s">
        <v>18</v>
      </c>
      <c r="T16" s="3" t="s">
        <v>19</v>
      </c>
      <c r="U16" s="3" t="s">
        <v>19</v>
      </c>
      <c r="V16" s="12" t="s">
        <v>19</v>
      </c>
      <c r="W16" s="12" t="s">
        <v>19</v>
      </c>
    </row>
    <row r="17" spans="1:27" x14ac:dyDescent="0.35">
      <c r="A17" s="15" t="s">
        <v>56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9">
        <v>1</v>
      </c>
      <c r="I17" s="3" t="s">
        <v>18</v>
      </c>
      <c r="J17" s="3" t="s">
        <v>18</v>
      </c>
      <c r="K17" s="3" t="s">
        <v>18</v>
      </c>
      <c r="L17" s="3" t="s">
        <v>19</v>
      </c>
      <c r="M17" s="3" t="s">
        <v>19</v>
      </c>
      <c r="N17" s="3" t="s">
        <v>19</v>
      </c>
      <c r="O17" s="3" t="s">
        <v>18</v>
      </c>
      <c r="P17" s="3" t="s">
        <v>18</v>
      </c>
      <c r="Q17" s="3" t="s">
        <v>19</v>
      </c>
      <c r="R17" s="3" t="s">
        <v>19</v>
      </c>
      <c r="S17" s="3" t="s">
        <v>18</v>
      </c>
      <c r="T17" s="3" t="s">
        <v>19</v>
      </c>
      <c r="U17" s="3" t="s">
        <v>18</v>
      </c>
      <c r="V17" s="12" t="s">
        <v>19</v>
      </c>
      <c r="W17" s="12" t="s">
        <v>19</v>
      </c>
    </row>
    <row r="18" spans="1:27" x14ac:dyDescent="0.35">
      <c r="A18" s="5" t="s">
        <v>32</v>
      </c>
      <c r="B18" s="3">
        <v>1</v>
      </c>
      <c r="C18" s="3">
        <v>1</v>
      </c>
      <c r="D18" s="3">
        <v>1</v>
      </c>
      <c r="E18" s="3" t="s">
        <v>18</v>
      </c>
      <c r="F18" s="3">
        <v>1</v>
      </c>
      <c r="G18" s="9">
        <v>0</v>
      </c>
      <c r="H18" s="3" t="s">
        <v>19</v>
      </c>
      <c r="I18" s="3" t="s">
        <v>18</v>
      </c>
      <c r="J18" s="3" t="s">
        <v>18</v>
      </c>
      <c r="K18" s="3" t="s">
        <v>19</v>
      </c>
      <c r="L18" s="3" t="s">
        <v>19</v>
      </c>
      <c r="M18" s="3" t="s">
        <v>19</v>
      </c>
      <c r="N18" s="3" t="s">
        <v>19</v>
      </c>
      <c r="O18" s="3" t="s">
        <v>18</v>
      </c>
      <c r="P18" s="3" t="s">
        <v>19</v>
      </c>
      <c r="Q18" s="3" t="s">
        <v>19</v>
      </c>
      <c r="R18" s="3" t="s">
        <v>19</v>
      </c>
      <c r="S18" s="3" t="s">
        <v>19</v>
      </c>
      <c r="T18" s="3" t="s">
        <v>19</v>
      </c>
      <c r="U18" s="3" t="s">
        <v>18</v>
      </c>
      <c r="V18" s="12" t="s">
        <v>19</v>
      </c>
      <c r="W18" s="12" t="s">
        <v>19</v>
      </c>
    </row>
    <row r="19" spans="1:27" x14ac:dyDescent="0.35">
      <c r="A19" s="16" t="s">
        <v>55</v>
      </c>
      <c r="B19" s="3">
        <v>1</v>
      </c>
      <c r="C19" s="3">
        <v>1</v>
      </c>
      <c r="D19" s="3">
        <v>1</v>
      </c>
      <c r="E19" s="3">
        <v>1</v>
      </c>
      <c r="F19" s="9">
        <v>1</v>
      </c>
      <c r="G19" s="3" t="s">
        <v>19</v>
      </c>
      <c r="H19" s="3" t="s">
        <v>18</v>
      </c>
      <c r="I19" s="3" t="s">
        <v>19</v>
      </c>
      <c r="J19" s="3" t="s">
        <v>19</v>
      </c>
      <c r="K19" s="3" t="s">
        <v>19</v>
      </c>
      <c r="L19" s="3" t="s">
        <v>19</v>
      </c>
      <c r="M19" s="3" t="s">
        <v>19</v>
      </c>
      <c r="N19" s="3" t="s">
        <v>19</v>
      </c>
      <c r="O19" s="3" t="s">
        <v>19</v>
      </c>
      <c r="P19" s="3" t="s">
        <v>18</v>
      </c>
      <c r="Q19" s="3" t="s">
        <v>18</v>
      </c>
      <c r="R19" s="3" t="s">
        <v>18</v>
      </c>
      <c r="S19" s="3" t="s">
        <v>19</v>
      </c>
      <c r="T19" s="3" t="s">
        <v>18</v>
      </c>
      <c r="U19" s="3" t="s">
        <v>19</v>
      </c>
      <c r="V19" s="12" t="s">
        <v>19</v>
      </c>
      <c r="W19" s="12" t="s">
        <v>19</v>
      </c>
    </row>
    <row r="20" spans="1:27" x14ac:dyDescent="0.35">
      <c r="A20" s="6" t="s">
        <v>35</v>
      </c>
      <c r="B20" s="3">
        <v>1</v>
      </c>
      <c r="C20" s="3">
        <v>1</v>
      </c>
      <c r="D20" s="3">
        <v>1</v>
      </c>
      <c r="E20" s="9" t="s">
        <v>18</v>
      </c>
      <c r="F20" s="3">
        <v>1</v>
      </c>
      <c r="G20" s="3" t="s">
        <v>18</v>
      </c>
      <c r="H20" s="3">
        <v>1</v>
      </c>
      <c r="I20" s="3" t="s">
        <v>18</v>
      </c>
      <c r="J20" s="3" t="s">
        <v>18</v>
      </c>
      <c r="K20" s="3" t="s">
        <v>18</v>
      </c>
      <c r="L20" s="3" t="s">
        <v>18</v>
      </c>
      <c r="M20" s="3" t="s">
        <v>19</v>
      </c>
      <c r="N20" s="3" t="s">
        <v>18</v>
      </c>
      <c r="O20" s="3" t="s">
        <v>19</v>
      </c>
      <c r="P20" s="3" t="s">
        <v>19</v>
      </c>
      <c r="Q20" s="3" t="s">
        <v>19</v>
      </c>
      <c r="R20" s="3" t="s">
        <v>18</v>
      </c>
      <c r="S20" s="3" t="s">
        <v>19</v>
      </c>
      <c r="T20" s="3" t="s">
        <v>18</v>
      </c>
      <c r="U20" s="3" t="s">
        <v>19</v>
      </c>
      <c r="V20" s="12" t="s">
        <v>19</v>
      </c>
      <c r="W20" s="12" t="s">
        <v>19</v>
      </c>
    </row>
    <row r="21" spans="1:27" x14ac:dyDescent="0.35">
      <c r="A21" s="15" t="s">
        <v>27</v>
      </c>
      <c r="B21" s="3">
        <v>1</v>
      </c>
      <c r="C21" s="3">
        <v>1</v>
      </c>
      <c r="D21" s="9">
        <v>1</v>
      </c>
      <c r="E21" s="3" t="s">
        <v>18</v>
      </c>
      <c r="F21" s="3" t="s">
        <v>18</v>
      </c>
      <c r="G21" s="3" t="s">
        <v>18</v>
      </c>
      <c r="H21" s="3" t="s">
        <v>18</v>
      </c>
      <c r="I21" s="3" t="s">
        <v>18</v>
      </c>
      <c r="J21" s="3" t="s">
        <v>18</v>
      </c>
      <c r="K21" s="3" t="s">
        <v>18</v>
      </c>
      <c r="L21" s="3" t="s">
        <v>18</v>
      </c>
      <c r="M21" s="3" t="s">
        <v>18</v>
      </c>
      <c r="N21" s="3" t="s">
        <v>19</v>
      </c>
      <c r="O21" s="3" t="s">
        <v>18</v>
      </c>
      <c r="P21" s="3" t="s">
        <v>18</v>
      </c>
      <c r="Q21" s="3" t="s">
        <v>18</v>
      </c>
      <c r="R21" s="3" t="s">
        <v>18</v>
      </c>
      <c r="S21" s="3" t="s">
        <v>19</v>
      </c>
      <c r="T21" s="3" t="s">
        <v>18</v>
      </c>
      <c r="U21" s="3" t="s">
        <v>19</v>
      </c>
      <c r="V21" s="12" t="s">
        <v>19</v>
      </c>
      <c r="W21" s="12" t="s">
        <v>19</v>
      </c>
    </row>
    <row r="22" spans="1:27" x14ac:dyDescent="0.35">
      <c r="A22" s="14" t="s">
        <v>54</v>
      </c>
      <c r="B22" s="3">
        <v>1</v>
      </c>
      <c r="C22" s="9">
        <v>1</v>
      </c>
      <c r="D22" s="3" t="s">
        <v>19</v>
      </c>
      <c r="E22" s="3" t="s">
        <v>19</v>
      </c>
      <c r="F22" s="3" t="s">
        <v>19</v>
      </c>
      <c r="G22" s="3" t="s">
        <v>19</v>
      </c>
      <c r="H22" s="3" t="s">
        <v>19</v>
      </c>
      <c r="I22" s="3" t="s">
        <v>19</v>
      </c>
      <c r="J22" s="3" t="s">
        <v>19</v>
      </c>
      <c r="K22" s="3" t="s">
        <v>18</v>
      </c>
      <c r="L22" s="3" t="s">
        <v>18</v>
      </c>
      <c r="M22" s="3" t="s">
        <v>19</v>
      </c>
      <c r="N22" s="3" t="s">
        <v>18</v>
      </c>
      <c r="O22" s="3" t="s">
        <v>18</v>
      </c>
      <c r="P22" s="3" t="s">
        <v>18</v>
      </c>
      <c r="Q22" s="3" t="s">
        <v>19</v>
      </c>
      <c r="R22" s="3" t="s">
        <v>18</v>
      </c>
      <c r="S22" s="3" t="s">
        <v>19</v>
      </c>
      <c r="T22" s="3" t="s">
        <v>19</v>
      </c>
      <c r="U22" s="3" t="s">
        <v>18</v>
      </c>
      <c r="V22" s="12" t="s">
        <v>19</v>
      </c>
      <c r="W22" s="12" t="s">
        <v>19</v>
      </c>
    </row>
    <row r="23" spans="1:27" x14ac:dyDescent="0.35">
      <c r="A23" s="6" t="s">
        <v>26</v>
      </c>
      <c r="B23" s="9">
        <v>1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12">
        <v>1</v>
      </c>
      <c r="W23" s="12">
        <v>1</v>
      </c>
    </row>
    <row r="26" spans="1:27" ht="58" x14ac:dyDescent="0.35">
      <c r="A26" s="11"/>
      <c r="B26" s="11"/>
      <c r="C26" s="11" t="s">
        <v>54</v>
      </c>
      <c r="D26" s="11" t="s">
        <v>58</v>
      </c>
      <c r="E26" s="11" t="s">
        <v>35</v>
      </c>
      <c r="F26" s="11" t="s">
        <v>32</v>
      </c>
      <c r="G26" s="11" t="s">
        <v>55</v>
      </c>
      <c r="H26" s="11" t="s">
        <v>49</v>
      </c>
      <c r="I26" s="11" t="s">
        <v>52</v>
      </c>
      <c r="J26" s="11" t="s">
        <v>50</v>
      </c>
      <c r="K26" s="11" t="s">
        <v>56</v>
      </c>
      <c r="L26" s="11" t="s">
        <v>43</v>
      </c>
      <c r="M26" s="11" t="s">
        <v>38</v>
      </c>
      <c r="N26" s="11" t="s">
        <v>30</v>
      </c>
      <c r="O26" s="11" t="s">
        <v>51</v>
      </c>
      <c r="P26" s="11" t="s">
        <v>28</v>
      </c>
      <c r="Q26" s="11" t="s">
        <v>31</v>
      </c>
      <c r="R26" s="11" t="s">
        <v>41</v>
      </c>
      <c r="S26" s="11" t="s">
        <v>23</v>
      </c>
      <c r="T26" s="11" t="s">
        <v>59</v>
      </c>
      <c r="U26" s="11" t="s">
        <v>40</v>
      </c>
      <c r="V26" s="11" t="s">
        <v>53</v>
      </c>
      <c r="W26" s="11" t="s">
        <v>57</v>
      </c>
      <c r="X26" s="11" t="s">
        <v>33</v>
      </c>
      <c r="Y26" s="11" t="s">
        <v>33</v>
      </c>
      <c r="Z26" s="11"/>
      <c r="AA26" s="11"/>
    </row>
    <row r="27" spans="1:27" x14ac:dyDescent="0.35">
      <c r="A27" s="5" t="s">
        <v>56</v>
      </c>
      <c r="B27" s="5"/>
      <c r="C27" s="3" t="s">
        <v>18</v>
      </c>
      <c r="D27" s="3" t="s">
        <v>18</v>
      </c>
      <c r="E27" s="3" t="s">
        <v>18</v>
      </c>
      <c r="F27" s="3" t="s">
        <v>18</v>
      </c>
      <c r="G27" s="3" t="s">
        <v>18</v>
      </c>
      <c r="H27" s="3" t="s">
        <v>18</v>
      </c>
      <c r="I27" s="3" t="s">
        <v>18</v>
      </c>
      <c r="J27" s="3" t="s">
        <v>18</v>
      </c>
      <c r="K27" s="9" t="s">
        <v>3</v>
      </c>
      <c r="L27" s="3" t="s">
        <v>19</v>
      </c>
      <c r="M27" s="3" t="s">
        <v>19</v>
      </c>
      <c r="N27" s="3" t="s">
        <v>19</v>
      </c>
      <c r="O27" s="3" t="s">
        <v>18</v>
      </c>
      <c r="P27" s="3" t="s">
        <v>18</v>
      </c>
      <c r="Q27" s="3" t="s">
        <v>19</v>
      </c>
      <c r="R27" s="3" t="s">
        <v>19</v>
      </c>
      <c r="S27" s="3" t="s">
        <v>18</v>
      </c>
      <c r="T27" s="3" t="s">
        <v>19</v>
      </c>
      <c r="U27" s="3" t="s">
        <v>19</v>
      </c>
      <c r="V27" s="3" t="s">
        <v>18</v>
      </c>
      <c r="W27" s="12" t="s">
        <v>19</v>
      </c>
      <c r="X27" s="12" t="s">
        <v>19</v>
      </c>
      <c r="Y27" s="12" t="s">
        <v>19</v>
      </c>
      <c r="Z27" s="12"/>
      <c r="AA27" s="1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E2A2-276E-4C55-A672-377FE972C945}">
  <dimension ref="A1:X24"/>
  <sheetViews>
    <sheetView topLeftCell="A6" workbookViewId="0">
      <selection activeCell="A27" sqref="A27:X50"/>
    </sheetView>
  </sheetViews>
  <sheetFormatPr defaultRowHeight="14.5" x14ac:dyDescent="0.35"/>
  <sheetData>
    <row r="1" spans="1:24" ht="58" x14ac:dyDescent="0.35">
      <c r="A1" s="11"/>
      <c r="B1" s="11" t="s">
        <v>26</v>
      </c>
      <c r="C1" s="11" t="s">
        <v>42</v>
      </c>
      <c r="D1" s="11" t="s">
        <v>27</v>
      </c>
      <c r="E1" s="11" t="s">
        <v>35</v>
      </c>
      <c r="F1" s="11" t="s">
        <v>25</v>
      </c>
      <c r="G1" s="11" t="s">
        <v>32</v>
      </c>
      <c r="H1" s="11" t="s">
        <v>24</v>
      </c>
      <c r="I1" s="11" t="s">
        <v>49</v>
      </c>
      <c r="J1" s="11" t="s">
        <v>52</v>
      </c>
      <c r="K1" s="11" t="s">
        <v>50</v>
      </c>
      <c r="L1" s="11" t="s">
        <v>43</v>
      </c>
      <c r="M1" s="11" t="s">
        <v>21</v>
      </c>
      <c r="N1" s="11" t="s">
        <v>38</v>
      </c>
      <c r="O1" s="11" t="s">
        <v>30</v>
      </c>
      <c r="P1" s="11" t="s">
        <v>51</v>
      </c>
      <c r="Q1" s="11" t="s">
        <v>28</v>
      </c>
      <c r="R1" s="11" t="s">
        <v>31</v>
      </c>
      <c r="S1" s="11" t="s">
        <v>41</v>
      </c>
      <c r="T1" s="11" t="s">
        <v>23</v>
      </c>
      <c r="U1" s="11" t="s">
        <v>40</v>
      </c>
      <c r="V1" s="11" t="s">
        <v>53</v>
      </c>
      <c r="W1" s="11" t="s">
        <v>34</v>
      </c>
      <c r="X1" s="11" t="s">
        <v>33</v>
      </c>
    </row>
    <row r="2" spans="1:24" x14ac:dyDescent="0.35">
      <c r="A2" s="2" t="s">
        <v>33</v>
      </c>
      <c r="B2" s="3" t="s">
        <v>18</v>
      </c>
      <c r="C2" s="3" t="s">
        <v>18</v>
      </c>
      <c r="D2" s="3" t="s">
        <v>18</v>
      </c>
      <c r="E2" s="3" t="s">
        <v>18</v>
      </c>
      <c r="F2" s="3" t="s">
        <v>18</v>
      </c>
      <c r="G2" s="3" t="s">
        <v>18</v>
      </c>
      <c r="H2" s="3" t="s">
        <v>18</v>
      </c>
      <c r="I2" s="3" t="s">
        <v>18</v>
      </c>
      <c r="J2" s="3" t="s">
        <v>18</v>
      </c>
      <c r="K2" s="3" t="s">
        <v>18</v>
      </c>
      <c r="L2" s="3" t="s">
        <v>18</v>
      </c>
      <c r="M2" s="3" t="s">
        <v>18</v>
      </c>
      <c r="N2" s="3" t="s">
        <v>18</v>
      </c>
      <c r="O2" s="3" t="s">
        <v>18</v>
      </c>
      <c r="P2" s="3" t="s">
        <v>18</v>
      </c>
      <c r="Q2" s="3" t="s">
        <v>18</v>
      </c>
      <c r="R2" s="3" t="s">
        <v>18</v>
      </c>
      <c r="S2" s="3" t="s">
        <v>18</v>
      </c>
      <c r="T2" s="3" t="s">
        <v>18</v>
      </c>
      <c r="U2" s="3" t="s">
        <v>18</v>
      </c>
      <c r="V2" s="12" t="s">
        <v>18</v>
      </c>
      <c r="W2" s="12" t="s">
        <v>18</v>
      </c>
      <c r="X2" s="19"/>
    </row>
    <row r="3" spans="1:24" x14ac:dyDescent="0.35">
      <c r="A3" s="2" t="s">
        <v>34</v>
      </c>
      <c r="B3" s="3" t="s">
        <v>18</v>
      </c>
      <c r="C3" s="3" t="s">
        <v>18</v>
      </c>
      <c r="D3" s="3" t="s">
        <v>18</v>
      </c>
      <c r="E3" s="3" t="s">
        <v>18</v>
      </c>
      <c r="F3" s="3" t="s">
        <v>18</v>
      </c>
      <c r="G3" s="3" t="s">
        <v>18</v>
      </c>
      <c r="H3" s="3" t="s">
        <v>18</v>
      </c>
      <c r="I3" s="3" t="s">
        <v>18</v>
      </c>
      <c r="J3" s="3" t="s">
        <v>18</v>
      </c>
      <c r="K3" s="3" t="s">
        <v>18</v>
      </c>
      <c r="L3" s="3" t="s">
        <v>18</v>
      </c>
      <c r="M3" s="3" t="s">
        <v>18</v>
      </c>
      <c r="N3" s="3" t="s">
        <v>18</v>
      </c>
      <c r="O3" s="3" t="s">
        <v>18</v>
      </c>
      <c r="P3" s="3" t="s">
        <v>18</v>
      </c>
      <c r="Q3" s="3" t="s">
        <v>18</v>
      </c>
      <c r="R3" s="3" t="s">
        <v>18</v>
      </c>
      <c r="S3" s="3" t="s">
        <v>18</v>
      </c>
      <c r="T3" s="3" t="s">
        <v>18</v>
      </c>
      <c r="U3" s="3" t="s">
        <v>18</v>
      </c>
      <c r="V3" s="12" t="s">
        <v>18</v>
      </c>
      <c r="W3" s="13"/>
      <c r="X3" s="2" t="s">
        <v>19</v>
      </c>
    </row>
    <row r="4" spans="1:24" x14ac:dyDescent="0.35">
      <c r="A4" s="2" t="s">
        <v>53</v>
      </c>
      <c r="B4" s="3" t="s">
        <v>18</v>
      </c>
      <c r="C4" s="3" t="s">
        <v>18</v>
      </c>
      <c r="D4" s="3" t="s">
        <v>18</v>
      </c>
      <c r="E4" s="3" t="s">
        <v>18</v>
      </c>
      <c r="F4" s="3" t="s">
        <v>18</v>
      </c>
      <c r="G4" s="3" t="s">
        <v>18</v>
      </c>
      <c r="H4" s="3" t="s">
        <v>18</v>
      </c>
      <c r="I4" s="17" t="s">
        <v>18</v>
      </c>
      <c r="J4" s="3" t="s">
        <v>18</v>
      </c>
      <c r="K4" s="3" t="s">
        <v>18</v>
      </c>
      <c r="L4" s="3" t="s">
        <v>18</v>
      </c>
      <c r="M4" s="3" t="s">
        <v>18</v>
      </c>
      <c r="N4" s="3" t="s">
        <v>18</v>
      </c>
      <c r="O4" s="3" t="s">
        <v>18</v>
      </c>
      <c r="P4" s="3" t="s">
        <v>18</v>
      </c>
      <c r="Q4" s="3" t="s">
        <v>18</v>
      </c>
      <c r="R4" s="3" t="s">
        <v>18</v>
      </c>
      <c r="S4" s="3" t="s">
        <v>18</v>
      </c>
      <c r="T4" s="3" t="s">
        <v>18</v>
      </c>
      <c r="U4" s="3" t="s">
        <v>18</v>
      </c>
      <c r="V4" s="13"/>
      <c r="W4" s="12" t="s">
        <v>19</v>
      </c>
      <c r="X4" s="2" t="s">
        <v>19</v>
      </c>
    </row>
    <row r="5" spans="1:24" x14ac:dyDescent="0.35">
      <c r="A5" s="2" t="s">
        <v>40</v>
      </c>
      <c r="B5" s="3" t="s">
        <v>18</v>
      </c>
      <c r="C5" s="3" t="s">
        <v>18</v>
      </c>
      <c r="D5" s="3" t="s">
        <v>18</v>
      </c>
      <c r="E5" s="3" t="s">
        <v>18</v>
      </c>
      <c r="F5" s="3" t="s">
        <v>18</v>
      </c>
      <c r="G5" s="3" t="s">
        <v>18</v>
      </c>
      <c r="H5" s="3" t="s">
        <v>18</v>
      </c>
      <c r="I5" s="17" t="s">
        <v>18</v>
      </c>
      <c r="J5" s="3" t="s">
        <v>18</v>
      </c>
      <c r="K5" s="3" t="s">
        <v>18</v>
      </c>
      <c r="L5" s="3" t="s">
        <v>18</v>
      </c>
      <c r="M5" s="3" t="s">
        <v>18</v>
      </c>
      <c r="N5" s="3" t="s">
        <v>18</v>
      </c>
      <c r="O5" s="3" t="s">
        <v>18</v>
      </c>
      <c r="P5" s="3" t="s">
        <v>18</v>
      </c>
      <c r="Q5" s="3" t="s">
        <v>18</v>
      </c>
      <c r="R5" s="3" t="s">
        <v>18</v>
      </c>
      <c r="S5" s="3" t="s">
        <v>18</v>
      </c>
      <c r="T5" s="3" t="s">
        <v>18</v>
      </c>
      <c r="U5" s="9"/>
      <c r="V5" s="12" t="s">
        <v>19</v>
      </c>
      <c r="W5" s="12" t="s">
        <v>19</v>
      </c>
      <c r="X5" s="6" t="s">
        <v>19</v>
      </c>
    </row>
    <row r="6" spans="1:24" x14ac:dyDescent="0.35">
      <c r="A6" s="2" t="s">
        <v>23</v>
      </c>
      <c r="B6" s="3" t="s">
        <v>18</v>
      </c>
      <c r="C6" s="3" t="s">
        <v>18</v>
      </c>
      <c r="D6" s="3" t="s">
        <v>18</v>
      </c>
      <c r="E6" s="3" t="s">
        <v>18</v>
      </c>
      <c r="F6" s="3" t="s">
        <v>18</v>
      </c>
      <c r="G6" s="3" t="s">
        <v>18</v>
      </c>
      <c r="H6" s="3" t="s">
        <v>18</v>
      </c>
      <c r="I6" s="17" t="s">
        <v>18</v>
      </c>
      <c r="J6" s="3" t="s">
        <v>18</v>
      </c>
      <c r="K6" s="3" t="s">
        <v>18</v>
      </c>
      <c r="L6" s="3" t="s">
        <v>18</v>
      </c>
      <c r="M6" s="3" t="s">
        <v>18</v>
      </c>
      <c r="N6" s="3" t="s">
        <v>18</v>
      </c>
      <c r="O6" s="3" t="s">
        <v>18</v>
      </c>
      <c r="P6" s="3" t="s">
        <v>18</v>
      </c>
      <c r="Q6" s="3" t="s">
        <v>18</v>
      </c>
      <c r="R6" s="3" t="s">
        <v>18</v>
      </c>
      <c r="S6" s="3" t="s">
        <v>18</v>
      </c>
      <c r="T6" s="9"/>
      <c r="U6" s="3" t="s">
        <v>19</v>
      </c>
      <c r="V6" s="12" t="s">
        <v>19</v>
      </c>
      <c r="W6" s="12" t="s">
        <v>19</v>
      </c>
      <c r="X6" s="6" t="s">
        <v>19</v>
      </c>
    </row>
    <row r="7" spans="1:24" x14ac:dyDescent="0.35">
      <c r="A7" s="2" t="s">
        <v>41</v>
      </c>
      <c r="B7" s="3" t="s">
        <v>18</v>
      </c>
      <c r="C7" s="3" t="s">
        <v>18</v>
      </c>
      <c r="D7" s="3" t="s">
        <v>18</v>
      </c>
      <c r="E7" s="3" t="s">
        <v>18</v>
      </c>
      <c r="F7" s="3" t="s">
        <v>18</v>
      </c>
      <c r="G7" s="3" t="s">
        <v>18</v>
      </c>
      <c r="H7" s="3" t="s">
        <v>18</v>
      </c>
      <c r="I7" s="17" t="s">
        <v>18</v>
      </c>
      <c r="J7" s="3" t="s">
        <v>18</v>
      </c>
      <c r="K7" s="3" t="s">
        <v>18</v>
      </c>
      <c r="L7" s="3" t="s">
        <v>18</v>
      </c>
      <c r="M7" s="3" t="s">
        <v>18</v>
      </c>
      <c r="N7" s="3" t="s">
        <v>18</v>
      </c>
      <c r="O7" s="3" t="s">
        <v>18</v>
      </c>
      <c r="P7" s="3" t="s">
        <v>18</v>
      </c>
      <c r="Q7" s="3" t="s">
        <v>18</v>
      </c>
      <c r="R7" s="3" t="s">
        <v>18</v>
      </c>
      <c r="S7" s="9"/>
      <c r="T7" s="3" t="s">
        <v>19</v>
      </c>
      <c r="U7" s="3" t="s">
        <v>19</v>
      </c>
      <c r="V7" s="12" t="s">
        <v>19</v>
      </c>
      <c r="W7" s="12" t="s">
        <v>19</v>
      </c>
      <c r="X7" s="6" t="s">
        <v>19</v>
      </c>
    </row>
    <row r="8" spans="1:24" x14ac:dyDescent="0.35">
      <c r="A8" s="5" t="s">
        <v>31</v>
      </c>
      <c r="B8" s="3" t="s">
        <v>18</v>
      </c>
      <c r="C8" s="3" t="s">
        <v>18</v>
      </c>
      <c r="D8" s="3" t="s">
        <v>18</v>
      </c>
      <c r="E8" s="3" t="s">
        <v>18</v>
      </c>
      <c r="F8" s="3" t="s">
        <v>18</v>
      </c>
      <c r="G8" s="3" t="s">
        <v>18</v>
      </c>
      <c r="H8" s="3" t="s">
        <v>18</v>
      </c>
      <c r="I8" s="17" t="s">
        <v>18</v>
      </c>
      <c r="J8" s="3" t="s">
        <v>18</v>
      </c>
      <c r="K8" s="3" t="s">
        <v>18</v>
      </c>
      <c r="L8" s="3" t="s">
        <v>18</v>
      </c>
      <c r="M8" s="3" t="s">
        <v>18</v>
      </c>
      <c r="N8" s="3" t="s">
        <v>18</v>
      </c>
      <c r="O8" s="3" t="s">
        <v>18</v>
      </c>
      <c r="P8" s="3" t="s">
        <v>18</v>
      </c>
      <c r="Q8" s="3" t="s">
        <v>18</v>
      </c>
      <c r="R8" s="9"/>
      <c r="S8" s="3" t="s">
        <v>19</v>
      </c>
      <c r="T8" s="3" t="s">
        <v>19</v>
      </c>
      <c r="U8" s="3" t="s">
        <v>19</v>
      </c>
      <c r="V8" s="12" t="s">
        <v>19</v>
      </c>
      <c r="W8" s="12" t="s">
        <v>19</v>
      </c>
      <c r="X8" s="6" t="s">
        <v>19</v>
      </c>
    </row>
    <row r="9" spans="1:24" x14ac:dyDescent="0.35">
      <c r="A9" s="5" t="s">
        <v>28</v>
      </c>
      <c r="B9" s="3" t="s">
        <v>18</v>
      </c>
      <c r="C9" s="3" t="s">
        <v>18</v>
      </c>
      <c r="D9" s="3" t="s">
        <v>18</v>
      </c>
      <c r="E9" s="3" t="s">
        <v>18</v>
      </c>
      <c r="F9" s="3" t="s">
        <v>18</v>
      </c>
      <c r="G9" s="3" t="s">
        <v>18</v>
      </c>
      <c r="H9" s="3" t="s">
        <v>18</v>
      </c>
      <c r="I9" s="17" t="s">
        <v>18</v>
      </c>
      <c r="J9" s="3" t="s">
        <v>18</v>
      </c>
      <c r="K9" s="3" t="s">
        <v>18</v>
      </c>
      <c r="L9" s="3" t="s">
        <v>18</v>
      </c>
      <c r="M9" s="3" t="s">
        <v>18</v>
      </c>
      <c r="N9" s="3" t="s">
        <v>18</v>
      </c>
      <c r="O9" s="3" t="s">
        <v>18</v>
      </c>
      <c r="P9" s="3" t="s">
        <v>18</v>
      </c>
      <c r="Q9" s="9"/>
      <c r="R9" s="3" t="s">
        <v>19</v>
      </c>
      <c r="S9" s="3" t="s">
        <v>19</v>
      </c>
      <c r="T9" s="3" t="s">
        <v>19</v>
      </c>
      <c r="U9" s="3" t="s">
        <v>19</v>
      </c>
      <c r="V9" s="12" t="s">
        <v>19</v>
      </c>
      <c r="W9" s="12" t="s">
        <v>19</v>
      </c>
      <c r="X9" s="6" t="s">
        <v>19</v>
      </c>
    </row>
    <row r="10" spans="1:24" x14ac:dyDescent="0.35">
      <c r="A10" s="5" t="s">
        <v>51</v>
      </c>
      <c r="B10" s="3" t="s">
        <v>18</v>
      </c>
      <c r="C10" s="3" t="s">
        <v>18</v>
      </c>
      <c r="D10" s="3" t="s">
        <v>18</v>
      </c>
      <c r="E10" s="3" t="s">
        <v>18</v>
      </c>
      <c r="F10" s="3" t="s">
        <v>18</v>
      </c>
      <c r="G10" s="3" t="s">
        <v>18</v>
      </c>
      <c r="H10" s="3" t="s">
        <v>18</v>
      </c>
      <c r="I10" s="17" t="s">
        <v>18</v>
      </c>
      <c r="J10" s="3" t="s">
        <v>18</v>
      </c>
      <c r="K10" s="3" t="s">
        <v>18</v>
      </c>
      <c r="L10" s="3" t="s">
        <v>18</v>
      </c>
      <c r="M10" s="3" t="s">
        <v>18</v>
      </c>
      <c r="N10" s="3" t="s">
        <v>18</v>
      </c>
      <c r="O10" s="3" t="s">
        <v>18</v>
      </c>
      <c r="P10" s="9"/>
      <c r="Q10" s="3" t="s">
        <v>19</v>
      </c>
      <c r="R10" s="3" t="s">
        <v>19</v>
      </c>
      <c r="S10" s="3" t="s">
        <v>19</v>
      </c>
      <c r="T10" s="3" t="s">
        <v>19</v>
      </c>
      <c r="U10" s="3" t="s">
        <v>19</v>
      </c>
      <c r="V10" s="12" t="s">
        <v>19</v>
      </c>
      <c r="W10" s="12" t="s">
        <v>19</v>
      </c>
      <c r="X10" s="6" t="s">
        <v>19</v>
      </c>
    </row>
    <row r="11" spans="1:24" x14ac:dyDescent="0.35">
      <c r="A11" s="5" t="s">
        <v>30</v>
      </c>
      <c r="B11" s="3" t="s">
        <v>18</v>
      </c>
      <c r="C11" s="3" t="s">
        <v>18</v>
      </c>
      <c r="D11" s="3" t="s">
        <v>18</v>
      </c>
      <c r="E11" s="3" t="s">
        <v>18</v>
      </c>
      <c r="F11" s="3" t="s">
        <v>18</v>
      </c>
      <c r="G11" s="3" t="s">
        <v>18</v>
      </c>
      <c r="H11" s="3" t="s">
        <v>18</v>
      </c>
      <c r="I11" s="17" t="s">
        <v>18</v>
      </c>
      <c r="J11" s="3" t="s">
        <v>18</v>
      </c>
      <c r="K11" s="3" t="s">
        <v>18</v>
      </c>
      <c r="L11" s="3" t="s">
        <v>18</v>
      </c>
      <c r="M11" s="3" t="s">
        <v>18</v>
      </c>
      <c r="N11" s="3" t="s">
        <v>18</v>
      </c>
      <c r="O11" s="9"/>
      <c r="P11" s="3" t="s">
        <v>19</v>
      </c>
      <c r="Q11" s="3" t="s">
        <v>19</v>
      </c>
      <c r="R11" s="3" t="s">
        <v>19</v>
      </c>
      <c r="S11" s="3" t="s">
        <v>19</v>
      </c>
      <c r="T11" s="3" t="s">
        <v>19</v>
      </c>
      <c r="U11" s="3" t="s">
        <v>19</v>
      </c>
      <c r="V11" s="12" t="s">
        <v>19</v>
      </c>
      <c r="W11" s="12" t="s">
        <v>19</v>
      </c>
      <c r="X11" s="6" t="s">
        <v>19</v>
      </c>
    </row>
    <row r="12" spans="1:24" x14ac:dyDescent="0.35">
      <c r="A12" s="5" t="s">
        <v>38</v>
      </c>
      <c r="B12" s="3" t="s">
        <v>18</v>
      </c>
      <c r="C12" s="3" t="s">
        <v>18</v>
      </c>
      <c r="D12" s="3" t="s">
        <v>18</v>
      </c>
      <c r="E12" s="3" t="s">
        <v>18</v>
      </c>
      <c r="F12" s="3" t="s">
        <v>18</v>
      </c>
      <c r="G12" s="3" t="s">
        <v>18</v>
      </c>
      <c r="H12" s="3" t="s">
        <v>18</v>
      </c>
      <c r="I12" s="17" t="s">
        <v>18</v>
      </c>
      <c r="J12" s="3" t="s">
        <v>18</v>
      </c>
      <c r="K12" s="3" t="s">
        <v>18</v>
      </c>
      <c r="L12" s="3" t="s">
        <v>18</v>
      </c>
      <c r="M12" s="3" t="s">
        <v>18</v>
      </c>
      <c r="N12" s="9"/>
      <c r="O12" s="3" t="s">
        <v>19</v>
      </c>
      <c r="P12" s="3" t="s">
        <v>19</v>
      </c>
      <c r="Q12" s="3" t="s">
        <v>19</v>
      </c>
      <c r="R12" s="3" t="s">
        <v>19</v>
      </c>
      <c r="S12" s="3" t="s">
        <v>19</v>
      </c>
      <c r="T12" s="3" t="s">
        <v>19</v>
      </c>
      <c r="U12" s="3" t="s">
        <v>19</v>
      </c>
      <c r="V12" s="12" t="s">
        <v>19</v>
      </c>
      <c r="W12" s="12" t="s">
        <v>19</v>
      </c>
      <c r="X12" s="6" t="s">
        <v>19</v>
      </c>
    </row>
    <row r="13" spans="1:24" x14ac:dyDescent="0.35">
      <c r="A13" s="5" t="s">
        <v>21</v>
      </c>
      <c r="B13" s="3" t="s">
        <v>18</v>
      </c>
      <c r="C13" s="3" t="s">
        <v>18</v>
      </c>
      <c r="D13" s="3" t="s">
        <v>18</v>
      </c>
      <c r="E13" s="3" t="s">
        <v>18</v>
      </c>
      <c r="F13" s="3" t="s">
        <v>18</v>
      </c>
      <c r="G13" s="3" t="s">
        <v>18</v>
      </c>
      <c r="H13" s="3" t="s">
        <v>18</v>
      </c>
      <c r="I13" s="17" t="s">
        <v>18</v>
      </c>
      <c r="J13" s="3" t="s">
        <v>18</v>
      </c>
      <c r="K13" s="3" t="s">
        <v>18</v>
      </c>
      <c r="L13" s="3" t="s">
        <v>18</v>
      </c>
      <c r="M13" s="9"/>
      <c r="N13" s="3" t="s">
        <v>19</v>
      </c>
      <c r="O13" s="3" t="s">
        <v>19</v>
      </c>
      <c r="P13" s="3" t="s">
        <v>19</v>
      </c>
      <c r="Q13" s="3" t="s">
        <v>19</v>
      </c>
      <c r="R13" s="3" t="s">
        <v>19</v>
      </c>
      <c r="S13" s="3" t="s">
        <v>19</v>
      </c>
      <c r="T13" s="3" t="s">
        <v>19</v>
      </c>
      <c r="U13" s="3" t="s">
        <v>19</v>
      </c>
      <c r="V13" s="12" t="s">
        <v>19</v>
      </c>
      <c r="W13" s="12" t="s">
        <v>19</v>
      </c>
      <c r="X13" s="6" t="s">
        <v>19</v>
      </c>
    </row>
    <row r="14" spans="1:24" x14ac:dyDescent="0.35">
      <c r="A14" s="5" t="s">
        <v>43</v>
      </c>
      <c r="B14" s="3" t="s">
        <v>18</v>
      </c>
      <c r="C14" s="3" t="s">
        <v>18</v>
      </c>
      <c r="D14" s="3" t="s">
        <v>18</v>
      </c>
      <c r="E14" s="3" t="s">
        <v>18</v>
      </c>
      <c r="F14" s="3" t="s">
        <v>18</v>
      </c>
      <c r="G14" s="3" t="s">
        <v>18</v>
      </c>
      <c r="H14" s="3" t="s">
        <v>18</v>
      </c>
      <c r="I14" s="3" t="s">
        <v>18</v>
      </c>
      <c r="J14" s="3" t="s">
        <v>18</v>
      </c>
      <c r="K14" s="3" t="s">
        <v>18</v>
      </c>
      <c r="L14" s="9"/>
      <c r="M14" s="3" t="s">
        <v>19</v>
      </c>
      <c r="N14" s="3" t="s">
        <v>19</v>
      </c>
      <c r="O14" s="3" t="s">
        <v>19</v>
      </c>
      <c r="P14" s="3" t="s">
        <v>19</v>
      </c>
      <c r="Q14" s="3" t="s">
        <v>19</v>
      </c>
      <c r="R14" s="3" t="s">
        <v>19</v>
      </c>
      <c r="S14" s="3" t="s">
        <v>19</v>
      </c>
      <c r="T14" s="3" t="s">
        <v>19</v>
      </c>
      <c r="U14" s="3" t="s">
        <v>19</v>
      </c>
      <c r="V14" s="12" t="s">
        <v>19</v>
      </c>
      <c r="W14" s="12" t="s">
        <v>19</v>
      </c>
      <c r="X14" s="6" t="s">
        <v>19</v>
      </c>
    </row>
    <row r="15" spans="1:24" x14ac:dyDescent="0.35">
      <c r="A15" s="5" t="s">
        <v>50</v>
      </c>
      <c r="B15" s="3" t="s">
        <v>18</v>
      </c>
      <c r="C15" s="3" t="s">
        <v>18</v>
      </c>
      <c r="D15" s="3" t="s">
        <v>18</v>
      </c>
      <c r="E15" s="3" t="s">
        <v>18</v>
      </c>
      <c r="F15" s="3" t="s">
        <v>18</v>
      </c>
      <c r="G15" s="3" t="s">
        <v>18</v>
      </c>
      <c r="H15" s="3" t="s">
        <v>18</v>
      </c>
      <c r="I15" s="3" t="s">
        <v>18</v>
      </c>
      <c r="J15" s="3" t="s">
        <v>18</v>
      </c>
      <c r="K15" s="9"/>
      <c r="L15" s="3" t="s">
        <v>19</v>
      </c>
      <c r="M15" s="3" t="s">
        <v>19</v>
      </c>
      <c r="N15" s="3" t="s">
        <v>19</v>
      </c>
      <c r="O15" s="3" t="s">
        <v>19</v>
      </c>
      <c r="P15" s="3" t="s">
        <v>19</v>
      </c>
      <c r="Q15" s="3" t="s">
        <v>19</v>
      </c>
      <c r="R15" s="3" t="s">
        <v>19</v>
      </c>
      <c r="S15" s="3" t="s">
        <v>19</v>
      </c>
      <c r="T15" s="3" t="s">
        <v>19</v>
      </c>
      <c r="U15" s="3" t="s">
        <v>19</v>
      </c>
      <c r="V15" s="12" t="s">
        <v>19</v>
      </c>
      <c r="W15" s="12" t="s">
        <v>19</v>
      </c>
      <c r="X15" s="6" t="s">
        <v>19</v>
      </c>
    </row>
    <row r="16" spans="1:24" x14ac:dyDescent="0.35">
      <c r="A16" s="5" t="s">
        <v>52</v>
      </c>
      <c r="B16" s="3" t="s">
        <v>18</v>
      </c>
      <c r="C16" s="3" t="s">
        <v>18</v>
      </c>
      <c r="D16" s="3" t="s">
        <v>18</v>
      </c>
      <c r="E16" s="3" t="s">
        <v>18</v>
      </c>
      <c r="F16" s="3" t="s">
        <v>18</v>
      </c>
      <c r="G16" s="3" t="s">
        <v>18</v>
      </c>
      <c r="H16" s="3" t="s">
        <v>18</v>
      </c>
      <c r="I16" s="3" t="s">
        <v>18</v>
      </c>
      <c r="J16" s="9"/>
      <c r="K16" s="3" t="s">
        <v>19</v>
      </c>
      <c r="L16" s="3" t="s">
        <v>19</v>
      </c>
      <c r="M16" s="3" t="s">
        <v>19</v>
      </c>
      <c r="N16" s="3" t="s">
        <v>19</v>
      </c>
      <c r="O16" s="3" t="s">
        <v>19</v>
      </c>
      <c r="P16" s="3" t="s">
        <v>19</v>
      </c>
      <c r="Q16" s="3" t="s">
        <v>19</v>
      </c>
      <c r="R16" s="3" t="s">
        <v>19</v>
      </c>
      <c r="S16" s="3" t="s">
        <v>19</v>
      </c>
      <c r="T16" s="3" t="s">
        <v>19</v>
      </c>
      <c r="U16" s="3" t="s">
        <v>19</v>
      </c>
      <c r="V16" s="12" t="s">
        <v>19</v>
      </c>
      <c r="W16" s="12" t="s">
        <v>19</v>
      </c>
      <c r="X16" s="6" t="s">
        <v>19</v>
      </c>
    </row>
    <row r="17" spans="1:24" x14ac:dyDescent="0.35">
      <c r="A17" s="5" t="s">
        <v>49</v>
      </c>
      <c r="B17" s="3" t="s">
        <v>18</v>
      </c>
      <c r="C17" s="3" t="s">
        <v>18</v>
      </c>
      <c r="D17" s="3" t="s">
        <v>18</v>
      </c>
      <c r="E17" s="3" t="s">
        <v>18</v>
      </c>
      <c r="F17" s="3" t="s">
        <v>18</v>
      </c>
      <c r="G17" s="3" t="s">
        <v>18</v>
      </c>
      <c r="H17" s="3" t="s">
        <v>18</v>
      </c>
      <c r="I17" s="9"/>
      <c r="J17" s="3" t="s">
        <v>19</v>
      </c>
      <c r="K17" s="3" t="s">
        <v>19</v>
      </c>
      <c r="L17" s="3" t="s">
        <v>19</v>
      </c>
      <c r="M17" s="3" t="s">
        <v>19</v>
      </c>
      <c r="N17" s="3" t="s">
        <v>19</v>
      </c>
      <c r="O17" s="3" t="s">
        <v>19</v>
      </c>
      <c r="P17" s="3" t="s">
        <v>19</v>
      </c>
      <c r="Q17" s="3" t="s">
        <v>19</v>
      </c>
      <c r="R17" s="3" t="s">
        <v>19</v>
      </c>
      <c r="S17" s="3" t="s">
        <v>19</v>
      </c>
      <c r="T17" s="3" t="s">
        <v>19</v>
      </c>
      <c r="U17" s="3" t="s">
        <v>19</v>
      </c>
      <c r="V17" s="12" t="s">
        <v>19</v>
      </c>
      <c r="W17" s="12" t="s">
        <v>19</v>
      </c>
      <c r="X17" s="6" t="s">
        <v>19</v>
      </c>
    </row>
    <row r="18" spans="1:24" x14ac:dyDescent="0.35">
      <c r="A18" s="5" t="s">
        <v>24</v>
      </c>
      <c r="B18" s="3" t="s">
        <v>18</v>
      </c>
      <c r="C18" s="3" t="s">
        <v>18</v>
      </c>
      <c r="D18" s="3" t="s">
        <v>18</v>
      </c>
      <c r="E18" s="3" t="s">
        <v>18</v>
      </c>
      <c r="F18" s="3" t="s">
        <v>18</v>
      </c>
      <c r="G18" s="3" t="s">
        <v>18</v>
      </c>
      <c r="H18" s="9"/>
      <c r="I18" s="3" t="s">
        <v>19</v>
      </c>
      <c r="J18" s="3" t="s">
        <v>19</v>
      </c>
      <c r="K18" s="3" t="s">
        <v>19</v>
      </c>
      <c r="L18" s="3" t="s">
        <v>19</v>
      </c>
      <c r="M18" s="3" t="s">
        <v>19</v>
      </c>
      <c r="N18" s="3" t="s">
        <v>19</v>
      </c>
      <c r="O18" s="3" t="s">
        <v>19</v>
      </c>
      <c r="P18" s="3" t="s">
        <v>19</v>
      </c>
      <c r="Q18" s="3" t="s">
        <v>19</v>
      </c>
      <c r="R18" s="3" t="s">
        <v>19</v>
      </c>
      <c r="S18" s="3" t="s">
        <v>19</v>
      </c>
      <c r="T18" s="3" t="s">
        <v>19</v>
      </c>
      <c r="U18" s="3" t="s">
        <v>19</v>
      </c>
      <c r="V18" s="12" t="s">
        <v>19</v>
      </c>
      <c r="W18" s="12" t="s">
        <v>19</v>
      </c>
      <c r="X18" s="6" t="s">
        <v>19</v>
      </c>
    </row>
    <row r="19" spans="1:24" x14ac:dyDescent="0.35">
      <c r="A19" s="6" t="s">
        <v>32</v>
      </c>
      <c r="B19" s="3" t="s">
        <v>18</v>
      </c>
      <c r="C19" s="3" t="s">
        <v>18</v>
      </c>
      <c r="D19" s="3" t="s">
        <v>18</v>
      </c>
      <c r="E19" s="3" t="s">
        <v>18</v>
      </c>
      <c r="F19" s="3" t="s">
        <v>18</v>
      </c>
      <c r="G19" s="9"/>
      <c r="H19" s="3" t="s">
        <v>19</v>
      </c>
      <c r="I19" s="3" t="s">
        <v>19</v>
      </c>
      <c r="J19" s="3" t="s">
        <v>19</v>
      </c>
      <c r="K19" s="3" t="s">
        <v>19</v>
      </c>
      <c r="L19" s="3" t="s">
        <v>19</v>
      </c>
      <c r="M19" s="3" t="s">
        <v>19</v>
      </c>
      <c r="N19" s="3" t="s">
        <v>19</v>
      </c>
      <c r="O19" s="3" t="s">
        <v>19</v>
      </c>
      <c r="P19" s="3" t="s">
        <v>19</v>
      </c>
      <c r="Q19" s="3" t="s">
        <v>19</v>
      </c>
      <c r="R19" s="3" t="s">
        <v>19</v>
      </c>
      <c r="S19" s="3" t="s">
        <v>19</v>
      </c>
      <c r="T19" s="3" t="s">
        <v>19</v>
      </c>
      <c r="U19" s="3" t="s">
        <v>19</v>
      </c>
      <c r="V19" s="12" t="s">
        <v>19</v>
      </c>
      <c r="W19" s="12" t="s">
        <v>19</v>
      </c>
      <c r="X19" s="6" t="s">
        <v>19</v>
      </c>
    </row>
    <row r="20" spans="1:24" x14ac:dyDescent="0.35">
      <c r="A20" s="6" t="s">
        <v>25</v>
      </c>
      <c r="B20" s="3" t="s">
        <v>18</v>
      </c>
      <c r="C20" s="3" t="s">
        <v>18</v>
      </c>
      <c r="D20" s="3" t="s">
        <v>18</v>
      </c>
      <c r="E20" s="3" t="s">
        <v>18</v>
      </c>
      <c r="F20" s="9"/>
      <c r="G20" s="3" t="s">
        <v>19</v>
      </c>
      <c r="H20" s="3" t="s">
        <v>19</v>
      </c>
      <c r="I20" s="3" t="s">
        <v>19</v>
      </c>
      <c r="J20" s="3" t="s">
        <v>19</v>
      </c>
      <c r="K20" s="3" t="s">
        <v>19</v>
      </c>
      <c r="L20" s="3" t="s">
        <v>19</v>
      </c>
      <c r="M20" s="3" t="s">
        <v>19</v>
      </c>
      <c r="N20" s="3" t="s">
        <v>19</v>
      </c>
      <c r="O20" s="3" t="s">
        <v>19</v>
      </c>
      <c r="P20" s="3" t="s">
        <v>19</v>
      </c>
      <c r="Q20" s="3" t="s">
        <v>19</v>
      </c>
      <c r="R20" s="3" t="s">
        <v>19</v>
      </c>
      <c r="S20" s="3" t="s">
        <v>19</v>
      </c>
      <c r="T20" s="3" t="s">
        <v>19</v>
      </c>
      <c r="U20" s="3" t="s">
        <v>19</v>
      </c>
      <c r="V20" s="12" t="s">
        <v>19</v>
      </c>
      <c r="W20" s="12" t="s">
        <v>19</v>
      </c>
      <c r="X20" s="6" t="s">
        <v>19</v>
      </c>
    </row>
    <row r="21" spans="1:24" x14ac:dyDescent="0.35">
      <c r="A21" s="5" t="s">
        <v>35</v>
      </c>
      <c r="B21" s="3" t="s">
        <v>18</v>
      </c>
      <c r="C21" s="3" t="s">
        <v>18</v>
      </c>
      <c r="D21" s="3" t="s">
        <v>18</v>
      </c>
      <c r="E21" s="9"/>
      <c r="F21" s="3" t="s">
        <v>19</v>
      </c>
      <c r="G21" s="3" t="s">
        <v>19</v>
      </c>
      <c r="H21" s="3" t="s">
        <v>19</v>
      </c>
      <c r="I21" s="3" t="s">
        <v>19</v>
      </c>
      <c r="J21" s="3" t="s">
        <v>19</v>
      </c>
      <c r="K21" s="3" t="s">
        <v>19</v>
      </c>
      <c r="L21" s="3" t="s">
        <v>19</v>
      </c>
      <c r="M21" s="3" t="s">
        <v>19</v>
      </c>
      <c r="N21" s="3" t="s">
        <v>19</v>
      </c>
      <c r="O21" s="3" t="s">
        <v>19</v>
      </c>
      <c r="P21" s="3" t="s">
        <v>19</v>
      </c>
      <c r="Q21" s="3" t="s">
        <v>19</v>
      </c>
      <c r="R21" s="3" t="s">
        <v>19</v>
      </c>
      <c r="S21" s="3" t="s">
        <v>19</v>
      </c>
      <c r="T21" s="3" t="s">
        <v>19</v>
      </c>
      <c r="U21" s="3" t="s">
        <v>19</v>
      </c>
      <c r="V21" s="12" t="s">
        <v>19</v>
      </c>
      <c r="W21" s="12" t="s">
        <v>19</v>
      </c>
      <c r="X21" s="6" t="s">
        <v>19</v>
      </c>
    </row>
    <row r="22" spans="1:24" x14ac:dyDescent="0.35">
      <c r="A22" s="6" t="s">
        <v>27</v>
      </c>
      <c r="B22" s="3" t="s">
        <v>18</v>
      </c>
      <c r="C22" s="3" t="s">
        <v>18</v>
      </c>
      <c r="D22" s="9"/>
      <c r="E22" s="3" t="s">
        <v>19</v>
      </c>
      <c r="F22" s="3" t="s">
        <v>19</v>
      </c>
      <c r="G22" s="3" t="s">
        <v>19</v>
      </c>
      <c r="H22" s="3" t="s">
        <v>19</v>
      </c>
      <c r="I22" s="3" t="s">
        <v>19</v>
      </c>
      <c r="J22" s="3" t="s">
        <v>19</v>
      </c>
      <c r="K22" s="3" t="s">
        <v>19</v>
      </c>
      <c r="L22" s="3" t="s">
        <v>19</v>
      </c>
      <c r="M22" s="3" t="s">
        <v>19</v>
      </c>
      <c r="N22" s="3" t="s">
        <v>19</v>
      </c>
      <c r="O22" s="3" t="s">
        <v>19</v>
      </c>
      <c r="P22" s="3" t="s">
        <v>19</v>
      </c>
      <c r="Q22" s="3" t="s">
        <v>19</v>
      </c>
      <c r="R22" s="3" t="s">
        <v>19</v>
      </c>
      <c r="S22" s="3" t="s">
        <v>19</v>
      </c>
      <c r="T22" s="3" t="s">
        <v>19</v>
      </c>
      <c r="U22" s="3" t="s">
        <v>19</v>
      </c>
      <c r="V22" s="12" t="s">
        <v>19</v>
      </c>
      <c r="W22" s="12" t="s">
        <v>19</v>
      </c>
      <c r="X22" s="6" t="s">
        <v>19</v>
      </c>
    </row>
    <row r="23" spans="1:24" x14ac:dyDescent="0.35">
      <c r="A23" s="6" t="s">
        <v>42</v>
      </c>
      <c r="B23" s="3" t="s">
        <v>18</v>
      </c>
      <c r="C23" s="9"/>
      <c r="D23" s="3" t="s">
        <v>19</v>
      </c>
      <c r="E23" s="3" t="s">
        <v>19</v>
      </c>
      <c r="F23" s="3" t="s">
        <v>19</v>
      </c>
      <c r="G23" s="3" t="s">
        <v>19</v>
      </c>
      <c r="H23" s="3" t="s">
        <v>19</v>
      </c>
      <c r="I23" s="3" t="s">
        <v>19</v>
      </c>
      <c r="J23" s="3" t="s">
        <v>19</v>
      </c>
      <c r="K23" s="3" t="s">
        <v>19</v>
      </c>
      <c r="L23" s="3" t="s">
        <v>19</v>
      </c>
      <c r="M23" s="3" t="s">
        <v>19</v>
      </c>
      <c r="N23" s="3" t="s">
        <v>19</v>
      </c>
      <c r="O23" s="3" t="s">
        <v>19</v>
      </c>
      <c r="P23" s="3" t="s">
        <v>19</v>
      </c>
      <c r="Q23" s="3" t="s">
        <v>19</v>
      </c>
      <c r="R23" s="3" t="s">
        <v>19</v>
      </c>
      <c r="S23" s="3" t="s">
        <v>19</v>
      </c>
      <c r="T23" s="3" t="s">
        <v>19</v>
      </c>
      <c r="U23" s="3" t="s">
        <v>19</v>
      </c>
      <c r="V23" s="12" t="s">
        <v>19</v>
      </c>
      <c r="W23" s="12" t="s">
        <v>19</v>
      </c>
      <c r="X23" s="6" t="s">
        <v>19</v>
      </c>
    </row>
    <row r="24" spans="1:24" x14ac:dyDescent="0.35">
      <c r="A24" s="8" t="s">
        <v>26</v>
      </c>
      <c r="B24" s="9"/>
      <c r="C24" s="3" t="s">
        <v>19</v>
      </c>
      <c r="D24" s="3" t="s">
        <v>19</v>
      </c>
      <c r="E24" s="3" t="s">
        <v>19</v>
      </c>
      <c r="F24" s="3" t="s">
        <v>19</v>
      </c>
      <c r="G24" s="3" t="s">
        <v>19</v>
      </c>
      <c r="H24" s="3" t="s">
        <v>19</v>
      </c>
      <c r="I24" s="3" t="s">
        <v>19</v>
      </c>
      <c r="J24" s="3" t="s">
        <v>19</v>
      </c>
      <c r="K24" s="3" t="s">
        <v>19</v>
      </c>
      <c r="L24" s="3" t="s">
        <v>19</v>
      </c>
      <c r="M24" s="3" t="s">
        <v>19</v>
      </c>
      <c r="N24" s="3" t="s">
        <v>19</v>
      </c>
      <c r="O24" s="3" t="s">
        <v>19</v>
      </c>
      <c r="P24" s="3" t="s">
        <v>19</v>
      </c>
      <c r="Q24" s="3" t="s">
        <v>19</v>
      </c>
      <c r="R24" s="3" t="s">
        <v>19</v>
      </c>
      <c r="S24" s="3" t="s">
        <v>19</v>
      </c>
      <c r="T24" s="3" t="s">
        <v>19</v>
      </c>
      <c r="U24" s="3" t="s">
        <v>19</v>
      </c>
      <c r="V24" s="3" t="s">
        <v>19</v>
      </c>
      <c r="W24" s="3" t="s">
        <v>19</v>
      </c>
      <c r="X24" s="6" t="s">
        <v>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3A36-FAD1-4641-A7D9-D97E3550931F}">
  <dimension ref="A1:Z50"/>
  <sheetViews>
    <sheetView workbookViewId="0">
      <pane xSplit="1" ySplit="1" topLeftCell="H34" activePane="bottomRight" state="frozen"/>
      <selection pane="topRight" activeCell="A27" sqref="A27:X50"/>
      <selection pane="bottomLeft" activeCell="A27" sqref="A27:X50"/>
      <selection pane="bottomRight" activeCell="A27" sqref="A27:X50"/>
    </sheetView>
  </sheetViews>
  <sheetFormatPr defaultRowHeight="14.5" x14ac:dyDescent="0.35"/>
  <cols>
    <col min="1" max="1" width="28.54296875" bestFit="1" customWidth="1"/>
  </cols>
  <sheetData>
    <row r="1" spans="1:26" ht="58" x14ac:dyDescent="0.35">
      <c r="A1" s="11"/>
      <c r="B1" s="11" t="s">
        <v>42</v>
      </c>
      <c r="C1" s="11" t="s">
        <v>27</v>
      </c>
      <c r="D1" s="11" t="s">
        <v>35</v>
      </c>
      <c r="E1" s="11" t="s">
        <v>25</v>
      </c>
      <c r="F1" s="11" t="s">
        <v>26</v>
      </c>
      <c r="G1" s="11" t="s">
        <v>32</v>
      </c>
      <c r="H1" s="11" t="s">
        <v>24</v>
      </c>
      <c r="I1" s="11" t="s">
        <v>49</v>
      </c>
      <c r="J1" s="11" t="s">
        <v>52</v>
      </c>
      <c r="K1" s="11" t="s">
        <v>50</v>
      </c>
      <c r="L1" s="11" t="s">
        <v>43</v>
      </c>
      <c r="M1" s="11" t="s">
        <v>21</v>
      </c>
      <c r="N1" s="11" t="s">
        <v>38</v>
      </c>
      <c r="O1" s="11" t="s">
        <v>30</v>
      </c>
      <c r="P1" s="11" t="s">
        <v>51</v>
      </c>
      <c r="Q1" s="11" t="s">
        <v>28</v>
      </c>
      <c r="R1" s="11" t="s">
        <v>31</v>
      </c>
      <c r="S1" s="11" t="s">
        <v>41</v>
      </c>
      <c r="T1" s="11" t="s">
        <v>23</v>
      </c>
      <c r="U1" s="11" t="s">
        <v>40</v>
      </c>
      <c r="V1" s="11" t="s">
        <v>53</v>
      </c>
      <c r="W1" s="11" t="s">
        <v>57</v>
      </c>
      <c r="X1" s="11" t="s">
        <v>33</v>
      </c>
    </row>
    <row r="2" spans="1:26" x14ac:dyDescent="0.35">
      <c r="A2" s="2" t="s">
        <v>33</v>
      </c>
      <c r="B2" s="3" t="s">
        <v>18</v>
      </c>
      <c r="C2" s="3" t="s">
        <v>18</v>
      </c>
      <c r="D2" s="3" t="s">
        <v>18</v>
      </c>
      <c r="E2" s="3" t="s">
        <v>18</v>
      </c>
      <c r="F2" s="3" t="s">
        <v>18</v>
      </c>
      <c r="G2" s="3" t="s">
        <v>18</v>
      </c>
      <c r="H2" s="3" t="s">
        <v>18</v>
      </c>
      <c r="I2" s="3" t="s">
        <v>18</v>
      </c>
      <c r="J2" s="3" t="s">
        <v>18</v>
      </c>
      <c r="K2" s="3" t="s">
        <v>18</v>
      </c>
      <c r="L2" s="3" t="s">
        <v>18</v>
      </c>
      <c r="M2" s="3"/>
      <c r="N2" s="3" t="s">
        <v>18</v>
      </c>
      <c r="O2" s="3" t="s">
        <v>18</v>
      </c>
      <c r="P2" s="3" t="s">
        <v>18</v>
      </c>
      <c r="Q2" s="3" t="s">
        <v>18</v>
      </c>
      <c r="R2" s="3" t="s">
        <v>18</v>
      </c>
      <c r="S2" s="3" t="s">
        <v>18</v>
      </c>
      <c r="T2" s="3" t="s">
        <v>18</v>
      </c>
      <c r="U2" s="3" t="s">
        <v>18</v>
      </c>
      <c r="V2" s="3" t="s">
        <v>18</v>
      </c>
      <c r="W2" s="12" t="s">
        <v>18</v>
      </c>
      <c r="X2" s="13">
        <v>0</v>
      </c>
      <c r="Z2" s="2" t="s">
        <v>33</v>
      </c>
    </row>
    <row r="3" spans="1:26" x14ac:dyDescent="0.35">
      <c r="A3" s="2" t="s">
        <v>57</v>
      </c>
      <c r="B3" s="3" t="s">
        <v>18</v>
      </c>
      <c r="C3" s="3" t="s">
        <v>18</v>
      </c>
      <c r="D3" s="3" t="s">
        <v>18</v>
      </c>
      <c r="E3" s="3" t="s">
        <v>18</v>
      </c>
      <c r="F3" s="3" t="s">
        <v>18</v>
      </c>
      <c r="G3" s="3" t="s">
        <v>18</v>
      </c>
      <c r="H3" s="3" t="s">
        <v>18</v>
      </c>
      <c r="I3" s="3" t="s">
        <v>18</v>
      </c>
      <c r="J3" s="3" t="s">
        <v>18</v>
      </c>
      <c r="K3" s="3" t="s">
        <v>18</v>
      </c>
      <c r="L3" s="3" t="s">
        <v>18</v>
      </c>
      <c r="M3" s="3"/>
      <c r="N3" s="3" t="s">
        <v>18</v>
      </c>
      <c r="O3" s="3" t="s">
        <v>18</v>
      </c>
      <c r="P3" s="3" t="s">
        <v>18</v>
      </c>
      <c r="Q3" s="3" t="s">
        <v>18</v>
      </c>
      <c r="R3" s="3" t="s">
        <v>18</v>
      </c>
      <c r="S3" s="3" t="s">
        <v>18</v>
      </c>
      <c r="T3" s="3" t="s">
        <v>18</v>
      </c>
      <c r="U3" s="3" t="s">
        <v>18</v>
      </c>
      <c r="V3" s="3" t="s">
        <v>18</v>
      </c>
      <c r="W3" s="13">
        <v>0</v>
      </c>
      <c r="X3" s="12" t="s">
        <v>19</v>
      </c>
      <c r="Z3" s="2" t="s">
        <v>34</v>
      </c>
    </row>
    <row r="4" spans="1:26" x14ac:dyDescent="0.35">
      <c r="A4" s="2" t="s">
        <v>53</v>
      </c>
      <c r="B4" s="3" t="s">
        <v>18</v>
      </c>
      <c r="C4" s="3" t="s">
        <v>18</v>
      </c>
      <c r="D4" s="3" t="s">
        <v>18</v>
      </c>
      <c r="E4" s="3" t="s">
        <v>18</v>
      </c>
      <c r="F4" s="3" t="s">
        <v>18</v>
      </c>
      <c r="G4" s="3" t="s">
        <v>18</v>
      </c>
      <c r="H4" s="3" t="s">
        <v>18</v>
      </c>
      <c r="I4" s="17" t="s">
        <v>18</v>
      </c>
      <c r="J4" s="3" t="s">
        <v>18</v>
      </c>
      <c r="K4" s="3" t="s">
        <v>18</v>
      </c>
      <c r="L4" s="3" t="s">
        <v>18</v>
      </c>
      <c r="M4" s="3"/>
      <c r="N4" s="3" t="s">
        <v>18</v>
      </c>
      <c r="O4" s="3" t="s">
        <v>18</v>
      </c>
      <c r="P4" s="3" t="s">
        <v>18</v>
      </c>
      <c r="Q4" s="3" t="s">
        <v>18</v>
      </c>
      <c r="R4" s="3" t="s">
        <v>18</v>
      </c>
      <c r="S4" s="3" t="s">
        <v>18</v>
      </c>
      <c r="T4" s="3" t="s">
        <v>18</v>
      </c>
      <c r="U4" s="3" t="s">
        <v>18</v>
      </c>
      <c r="V4" s="9">
        <v>0</v>
      </c>
      <c r="W4" s="12" t="s">
        <v>19</v>
      </c>
      <c r="X4" s="12" t="s">
        <v>19</v>
      </c>
      <c r="Z4" s="2" t="s">
        <v>53</v>
      </c>
    </row>
    <row r="5" spans="1:26" x14ac:dyDescent="0.35">
      <c r="A5" s="2" t="s">
        <v>40</v>
      </c>
      <c r="B5" s="3" t="s">
        <v>18</v>
      </c>
      <c r="C5" s="3" t="s">
        <v>18</v>
      </c>
      <c r="D5" s="3" t="s">
        <v>18</v>
      </c>
      <c r="E5" s="3" t="s">
        <v>18</v>
      </c>
      <c r="F5" s="3" t="s">
        <v>18</v>
      </c>
      <c r="G5" s="3" t="s">
        <v>18</v>
      </c>
      <c r="H5" s="3" t="s">
        <v>18</v>
      </c>
      <c r="I5" s="17" t="s">
        <v>18</v>
      </c>
      <c r="J5" s="3" t="s">
        <v>18</v>
      </c>
      <c r="K5" s="3" t="s">
        <v>18</v>
      </c>
      <c r="L5" s="3" t="s">
        <v>18</v>
      </c>
      <c r="M5" s="3"/>
      <c r="N5" s="3" t="s">
        <v>18</v>
      </c>
      <c r="O5" s="3" t="s">
        <v>18</v>
      </c>
      <c r="P5" s="3" t="s">
        <v>18</v>
      </c>
      <c r="Q5" s="3" t="s">
        <v>18</v>
      </c>
      <c r="R5" s="3" t="s">
        <v>18</v>
      </c>
      <c r="S5" s="3" t="s">
        <v>18</v>
      </c>
      <c r="T5" s="3" t="s">
        <v>18</v>
      </c>
      <c r="U5" s="9">
        <v>0</v>
      </c>
      <c r="V5" s="3" t="s">
        <v>19</v>
      </c>
      <c r="W5" s="12" t="s">
        <v>19</v>
      </c>
      <c r="X5" s="12" t="s">
        <v>19</v>
      </c>
      <c r="Z5" s="2" t="s">
        <v>40</v>
      </c>
    </row>
    <row r="6" spans="1:26" x14ac:dyDescent="0.35">
      <c r="A6" s="2" t="s">
        <v>23</v>
      </c>
      <c r="B6" s="3" t="s">
        <v>18</v>
      </c>
      <c r="C6" s="3" t="s">
        <v>18</v>
      </c>
      <c r="D6" s="3" t="s">
        <v>18</v>
      </c>
      <c r="E6" s="3" t="s">
        <v>18</v>
      </c>
      <c r="F6" s="3" t="s">
        <v>18</v>
      </c>
      <c r="G6" s="3" t="s">
        <v>18</v>
      </c>
      <c r="H6" s="3" t="s">
        <v>18</v>
      </c>
      <c r="I6" s="17" t="s">
        <v>18</v>
      </c>
      <c r="J6" s="3" t="s">
        <v>18</v>
      </c>
      <c r="K6" s="3" t="s">
        <v>18</v>
      </c>
      <c r="L6" s="3" t="s">
        <v>18</v>
      </c>
      <c r="M6" s="3"/>
      <c r="N6" s="3" t="s">
        <v>18</v>
      </c>
      <c r="O6" s="3" t="s">
        <v>18</v>
      </c>
      <c r="P6" s="3" t="s">
        <v>18</v>
      </c>
      <c r="Q6" s="3" t="s">
        <v>18</v>
      </c>
      <c r="R6" s="3" t="s">
        <v>18</v>
      </c>
      <c r="S6" s="3" t="s">
        <v>18</v>
      </c>
      <c r="T6" s="9">
        <v>0</v>
      </c>
      <c r="U6" s="3" t="s">
        <v>19</v>
      </c>
      <c r="V6" s="3" t="s">
        <v>18</v>
      </c>
      <c r="W6" s="12" t="s">
        <v>19</v>
      </c>
      <c r="X6" s="12" t="s">
        <v>19</v>
      </c>
      <c r="Z6" s="2" t="s">
        <v>23</v>
      </c>
    </row>
    <row r="7" spans="1:26" x14ac:dyDescent="0.35">
      <c r="A7" s="2" t="s">
        <v>41</v>
      </c>
      <c r="B7" s="3" t="s">
        <v>18</v>
      </c>
      <c r="C7" s="3" t="s">
        <v>18</v>
      </c>
      <c r="D7" s="3" t="s">
        <v>18</v>
      </c>
      <c r="E7" s="3" t="s">
        <v>18</v>
      </c>
      <c r="F7" s="3" t="s">
        <v>18</v>
      </c>
      <c r="G7" s="3" t="s">
        <v>18</v>
      </c>
      <c r="H7" s="3" t="s">
        <v>18</v>
      </c>
      <c r="I7" s="17" t="s">
        <v>18</v>
      </c>
      <c r="J7" s="3" t="s">
        <v>18</v>
      </c>
      <c r="K7" s="3" t="s">
        <v>18</v>
      </c>
      <c r="L7" s="3" t="s">
        <v>18</v>
      </c>
      <c r="M7" s="3"/>
      <c r="N7" s="3" t="s">
        <v>18</v>
      </c>
      <c r="O7" s="3" t="s">
        <v>18</v>
      </c>
      <c r="P7" s="3" t="s">
        <v>18</v>
      </c>
      <c r="Q7" s="3" t="s">
        <v>18</v>
      </c>
      <c r="R7" s="3" t="s">
        <v>18</v>
      </c>
      <c r="S7" s="9">
        <v>0</v>
      </c>
      <c r="T7" s="3" t="s">
        <v>18</v>
      </c>
      <c r="U7" s="3" t="s">
        <v>19</v>
      </c>
      <c r="V7" s="3" t="s">
        <v>19</v>
      </c>
      <c r="W7" s="12" t="s">
        <v>19</v>
      </c>
      <c r="X7" s="12" t="s">
        <v>19</v>
      </c>
      <c r="Z7" s="2" t="s">
        <v>41</v>
      </c>
    </row>
    <row r="8" spans="1:26" x14ac:dyDescent="0.35">
      <c r="A8" s="5" t="s">
        <v>31</v>
      </c>
      <c r="B8" s="3" t="s">
        <v>18</v>
      </c>
      <c r="C8" s="3" t="s">
        <v>18</v>
      </c>
      <c r="D8" s="3" t="s">
        <v>18</v>
      </c>
      <c r="E8" s="3" t="s">
        <v>18</v>
      </c>
      <c r="F8" s="3" t="s">
        <v>18</v>
      </c>
      <c r="G8" s="3" t="s">
        <v>18</v>
      </c>
      <c r="H8" s="3" t="s">
        <v>18</v>
      </c>
      <c r="I8" s="17" t="s">
        <v>18</v>
      </c>
      <c r="J8" s="3" t="s">
        <v>18</v>
      </c>
      <c r="K8" s="3" t="s">
        <v>18</v>
      </c>
      <c r="L8" s="3" t="s">
        <v>18</v>
      </c>
      <c r="M8" s="3"/>
      <c r="N8" s="3" t="s">
        <v>18</v>
      </c>
      <c r="O8" s="3" t="s">
        <v>18</v>
      </c>
      <c r="P8" s="3" t="s">
        <v>18</v>
      </c>
      <c r="Q8" s="3" t="s">
        <v>18</v>
      </c>
      <c r="R8" s="9">
        <v>0</v>
      </c>
      <c r="S8" s="3" t="s">
        <v>19</v>
      </c>
      <c r="T8" s="3" t="s">
        <v>19</v>
      </c>
      <c r="U8" s="3" t="s">
        <v>19</v>
      </c>
      <c r="V8" s="3" t="s">
        <v>19</v>
      </c>
      <c r="W8" s="12" t="s">
        <v>19</v>
      </c>
      <c r="X8" s="12" t="s">
        <v>19</v>
      </c>
      <c r="Z8" s="5" t="s">
        <v>31</v>
      </c>
    </row>
    <row r="9" spans="1:26" x14ac:dyDescent="0.35">
      <c r="A9" s="5" t="s">
        <v>28</v>
      </c>
      <c r="B9" s="3" t="s">
        <v>18</v>
      </c>
      <c r="C9" s="3" t="s">
        <v>18</v>
      </c>
      <c r="D9" s="3" t="s">
        <v>18</v>
      </c>
      <c r="E9" s="3" t="s">
        <v>18</v>
      </c>
      <c r="F9" s="3" t="s">
        <v>18</v>
      </c>
      <c r="G9" s="3" t="s">
        <v>18</v>
      </c>
      <c r="H9" s="3" t="s">
        <v>18</v>
      </c>
      <c r="I9" s="17" t="s">
        <v>18</v>
      </c>
      <c r="J9" s="3" t="s">
        <v>18</v>
      </c>
      <c r="K9" s="3" t="s">
        <v>18</v>
      </c>
      <c r="L9" s="3" t="s">
        <v>18</v>
      </c>
      <c r="M9" s="3"/>
      <c r="N9" s="3" t="s">
        <v>18</v>
      </c>
      <c r="O9" s="3" t="s">
        <v>18</v>
      </c>
      <c r="P9" s="3" t="s">
        <v>18</v>
      </c>
      <c r="Q9" s="9">
        <v>0</v>
      </c>
      <c r="R9" s="3" t="s">
        <v>19</v>
      </c>
      <c r="S9" s="3" t="s">
        <v>19</v>
      </c>
      <c r="T9" s="3" t="s">
        <v>18</v>
      </c>
      <c r="U9" s="3" t="s">
        <v>19</v>
      </c>
      <c r="V9" s="3" t="s">
        <v>19</v>
      </c>
      <c r="W9" s="12" t="s">
        <v>19</v>
      </c>
      <c r="X9" s="12" t="s">
        <v>19</v>
      </c>
      <c r="Z9" s="5" t="s">
        <v>28</v>
      </c>
    </row>
    <row r="10" spans="1:26" x14ac:dyDescent="0.35">
      <c r="A10" s="5" t="s">
        <v>51</v>
      </c>
      <c r="B10" s="3" t="s">
        <v>18</v>
      </c>
      <c r="C10" s="3" t="s">
        <v>18</v>
      </c>
      <c r="D10" s="3" t="s">
        <v>18</v>
      </c>
      <c r="E10" s="3" t="s">
        <v>18</v>
      </c>
      <c r="F10" s="3" t="s">
        <v>18</v>
      </c>
      <c r="G10" s="3" t="s">
        <v>18</v>
      </c>
      <c r="H10" s="3" t="s">
        <v>18</v>
      </c>
      <c r="I10" s="17" t="s">
        <v>18</v>
      </c>
      <c r="J10" s="3" t="s">
        <v>18</v>
      </c>
      <c r="K10" s="3" t="s">
        <v>18</v>
      </c>
      <c r="L10" s="3" t="s">
        <v>18</v>
      </c>
      <c r="M10" s="3"/>
      <c r="N10" s="3" t="s">
        <v>18</v>
      </c>
      <c r="O10" s="3" t="s">
        <v>18</v>
      </c>
      <c r="P10" s="9">
        <v>0</v>
      </c>
      <c r="Q10" s="3" t="s">
        <v>19</v>
      </c>
      <c r="R10" s="3" t="s">
        <v>19</v>
      </c>
      <c r="S10" s="3" t="s">
        <v>19</v>
      </c>
      <c r="T10" s="3" t="s">
        <v>18</v>
      </c>
      <c r="U10" s="3" t="s">
        <v>19</v>
      </c>
      <c r="V10" s="3" t="s">
        <v>19</v>
      </c>
      <c r="W10" s="12" t="s">
        <v>19</v>
      </c>
      <c r="X10" s="12" t="s">
        <v>19</v>
      </c>
      <c r="Z10" s="5" t="s">
        <v>51</v>
      </c>
    </row>
    <row r="11" spans="1:26" x14ac:dyDescent="0.35">
      <c r="A11" s="5" t="s">
        <v>30</v>
      </c>
      <c r="B11" s="3" t="s">
        <v>18</v>
      </c>
      <c r="C11" s="3" t="s">
        <v>18</v>
      </c>
      <c r="D11" s="3" t="s">
        <v>18</v>
      </c>
      <c r="E11" s="3" t="s">
        <v>18</v>
      </c>
      <c r="F11" s="3" t="s">
        <v>18</v>
      </c>
      <c r="G11" s="3" t="s">
        <v>18</v>
      </c>
      <c r="H11" s="3" t="s">
        <v>18</v>
      </c>
      <c r="I11" s="17" t="s">
        <v>18</v>
      </c>
      <c r="J11" s="3" t="s">
        <v>18</v>
      </c>
      <c r="K11" s="3" t="s">
        <v>18</v>
      </c>
      <c r="L11" s="3" t="s">
        <v>18</v>
      </c>
      <c r="M11" s="3"/>
      <c r="N11" s="3" t="s">
        <v>18</v>
      </c>
      <c r="O11" s="9">
        <v>0</v>
      </c>
      <c r="P11" s="3" t="s">
        <v>18</v>
      </c>
      <c r="Q11" s="3" t="s">
        <v>19</v>
      </c>
      <c r="R11" s="3" t="s">
        <v>19</v>
      </c>
      <c r="S11" s="3" t="s">
        <v>19</v>
      </c>
      <c r="T11" s="3" t="s">
        <v>19</v>
      </c>
      <c r="U11" s="3" t="s">
        <v>19</v>
      </c>
      <c r="V11" s="3" t="s">
        <v>19</v>
      </c>
      <c r="W11" s="12" t="s">
        <v>19</v>
      </c>
      <c r="X11" s="12" t="s">
        <v>19</v>
      </c>
      <c r="Z11" s="5" t="s">
        <v>30</v>
      </c>
    </row>
    <row r="12" spans="1:26" x14ac:dyDescent="0.35">
      <c r="A12" s="5" t="s">
        <v>38</v>
      </c>
      <c r="B12" s="3" t="s">
        <v>18</v>
      </c>
      <c r="C12" s="3" t="s">
        <v>18</v>
      </c>
      <c r="D12" s="3" t="s">
        <v>18</v>
      </c>
      <c r="E12" s="3" t="s">
        <v>18</v>
      </c>
      <c r="F12" s="3" t="s">
        <v>18</v>
      </c>
      <c r="G12" s="3" t="s">
        <v>18</v>
      </c>
      <c r="H12" s="3" t="s">
        <v>18</v>
      </c>
      <c r="I12" s="17" t="s">
        <v>18</v>
      </c>
      <c r="J12" s="3" t="s">
        <v>18</v>
      </c>
      <c r="K12" s="3" t="s">
        <v>18</v>
      </c>
      <c r="L12" s="3" t="s">
        <v>18</v>
      </c>
      <c r="M12" s="3"/>
      <c r="N12" s="9">
        <v>0</v>
      </c>
      <c r="O12" s="3" t="s">
        <v>19</v>
      </c>
      <c r="P12" s="3" t="s">
        <v>18</v>
      </c>
      <c r="Q12" s="3" t="s">
        <v>19</v>
      </c>
      <c r="R12" s="3" t="s">
        <v>19</v>
      </c>
      <c r="S12" s="3" t="s">
        <v>19</v>
      </c>
      <c r="T12" s="3" t="s">
        <v>19</v>
      </c>
      <c r="U12" s="3" t="s">
        <v>19</v>
      </c>
      <c r="V12" s="3" t="s">
        <v>18</v>
      </c>
      <c r="W12" s="12" t="s">
        <v>19</v>
      </c>
      <c r="X12" s="12" t="s">
        <v>19</v>
      </c>
      <c r="Z12" s="5" t="s">
        <v>38</v>
      </c>
    </row>
    <row r="13" spans="1:26" x14ac:dyDescent="0.35">
      <c r="A13" s="5"/>
      <c r="B13" s="3"/>
      <c r="C13" s="3"/>
      <c r="D13" s="3"/>
      <c r="E13" s="3"/>
      <c r="F13" s="3"/>
      <c r="G13" s="3"/>
      <c r="H13" s="3"/>
      <c r="I13" s="17"/>
      <c r="J13" s="3"/>
      <c r="K13" s="3"/>
      <c r="L13" s="3"/>
      <c r="M13" s="3"/>
      <c r="N13" s="9"/>
      <c r="O13" s="3"/>
      <c r="P13" s="3"/>
      <c r="Q13" s="3"/>
      <c r="R13" s="3"/>
      <c r="S13" s="3"/>
      <c r="T13" s="3"/>
      <c r="U13" s="3"/>
      <c r="V13" s="3"/>
      <c r="W13" s="12"/>
      <c r="X13" s="12"/>
      <c r="Z13" s="5" t="s">
        <v>21</v>
      </c>
    </row>
    <row r="14" spans="1:26" x14ac:dyDescent="0.35">
      <c r="A14" s="5" t="s">
        <v>43</v>
      </c>
      <c r="B14" s="3" t="s">
        <v>18</v>
      </c>
      <c r="C14" s="3" t="s">
        <v>18</v>
      </c>
      <c r="D14" s="3" t="s">
        <v>18</v>
      </c>
      <c r="E14" s="3" t="s">
        <v>18</v>
      </c>
      <c r="F14" s="3" t="s">
        <v>18</v>
      </c>
      <c r="G14" s="3" t="s">
        <v>18</v>
      </c>
      <c r="H14" s="3" t="s">
        <v>18</v>
      </c>
      <c r="I14" s="17" t="s">
        <v>18</v>
      </c>
      <c r="J14" s="3" t="s">
        <v>18</v>
      </c>
      <c r="K14" s="3" t="s">
        <v>18</v>
      </c>
      <c r="L14" s="9">
        <v>0</v>
      </c>
      <c r="M14" s="9"/>
      <c r="N14" s="3" t="s">
        <v>19</v>
      </c>
      <c r="O14" s="3" t="s">
        <v>19</v>
      </c>
      <c r="P14" s="3" t="s">
        <v>18</v>
      </c>
      <c r="Q14" s="3" t="s">
        <v>19</v>
      </c>
      <c r="R14" s="3" t="s">
        <v>19</v>
      </c>
      <c r="S14" s="3" t="s">
        <v>19</v>
      </c>
      <c r="T14" s="3" t="s">
        <v>19</v>
      </c>
      <c r="U14" s="3" t="s">
        <v>19</v>
      </c>
      <c r="V14" s="3" t="s">
        <v>18</v>
      </c>
      <c r="W14" s="12" t="s">
        <v>19</v>
      </c>
      <c r="X14" s="12" t="s">
        <v>19</v>
      </c>
      <c r="Z14" s="5" t="s">
        <v>43</v>
      </c>
    </row>
    <row r="15" spans="1:26" x14ac:dyDescent="0.35">
      <c r="A15" s="5" t="s">
        <v>50</v>
      </c>
      <c r="B15" s="3" t="s">
        <v>18</v>
      </c>
      <c r="C15" s="3" t="s">
        <v>18</v>
      </c>
      <c r="D15" s="3" t="s">
        <v>18</v>
      </c>
      <c r="E15" s="3" t="s">
        <v>18</v>
      </c>
      <c r="F15" s="3" t="s">
        <v>18</v>
      </c>
      <c r="G15" s="3" t="s">
        <v>18</v>
      </c>
      <c r="H15" s="3" t="s">
        <v>18</v>
      </c>
      <c r="I15" s="3" t="s">
        <v>18</v>
      </c>
      <c r="J15" s="3" t="s">
        <v>18</v>
      </c>
      <c r="K15" s="9">
        <v>0</v>
      </c>
      <c r="L15" s="3" t="s">
        <v>19</v>
      </c>
      <c r="M15" s="3"/>
      <c r="N15" s="3" t="s">
        <v>19</v>
      </c>
      <c r="O15" s="3" t="s">
        <v>19</v>
      </c>
      <c r="P15" s="3" t="s">
        <v>18</v>
      </c>
      <c r="Q15" s="3" t="s">
        <v>19</v>
      </c>
      <c r="R15" s="3" t="s">
        <v>19</v>
      </c>
      <c r="S15" s="3" t="s">
        <v>19</v>
      </c>
      <c r="T15" s="3" t="s">
        <v>19</v>
      </c>
      <c r="U15" s="3" t="s">
        <v>19</v>
      </c>
      <c r="V15" s="3" t="s">
        <v>18</v>
      </c>
      <c r="W15" s="12" t="s">
        <v>19</v>
      </c>
      <c r="X15" s="12" t="s">
        <v>19</v>
      </c>
      <c r="Z15" s="5" t="s">
        <v>50</v>
      </c>
    </row>
    <row r="16" spans="1:26" x14ac:dyDescent="0.35">
      <c r="A16" s="5" t="s">
        <v>52</v>
      </c>
      <c r="B16" s="3" t="s">
        <v>18</v>
      </c>
      <c r="C16" s="3" t="s">
        <v>18</v>
      </c>
      <c r="D16" s="3" t="s">
        <v>18</v>
      </c>
      <c r="E16" s="3" t="s">
        <v>18</v>
      </c>
      <c r="F16" s="3" t="s">
        <v>18</v>
      </c>
      <c r="G16" s="3" t="s">
        <v>18</v>
      </c>
      <c r="H16" s="3" t="s">
        <v>18</v>
      </c>
      <c r="I16" s="3" t="s">
        <v>18</v>
      </c>
      <c r="J16" s="9">
        <v>0</v>
      </c>
      <c r="K16" s="3" t="s">
        <v>18</v>
      </c>
      <c r="L16" s="3" t="s">
        <v>18</v>
      </c>
      <c r="M16" s="3"/>
      <c r="N16" s="3" t="s">
        <v>18</v>
      </c>
      <c r="O16" s="3" t="s">
        <v>18</v>
      </c>
      <c r="P16" s="3" t="s">
        <v>19</v>
      </c>
      <c r="Q16" s="3" t="s">
        <v>19</v>
      </c>
      <c r="R16" s="3" t="s">
        <v>19</v>
      </c>
      <c r="S16" s="3" t="s">
        <v>19</v>
      </c>
      <c r="T16" s="3" t="s">
        <v>18</v>
      </c>
      <c r="U16" s="3" t="s">
        <v>19</v>
      </c>
      <c r="V16" s="3" t="s">
        <v>19</v>
      </c>
      <c r="W16" s="12" t="s">
        <v>19</v>
      </c>
      <c r="X16" s="12" t="s">
        <v>19</v>
      </c>
      <c r="Z16" s="5" t="s">
        <v>52</v>
      </c>
    </row>
    <row r="17" spans="1:26" x14ac:dyDescent="0.35">
      <c r="A17" s="5" t="s">
        <v>49</v>
      </c>
      <c r="B17" s="3" t="s">
        <v>18</v>
      </c>
      <c r="C17" s="3" t="s">
        <v>18</v>
      </c>
      <c r="D17" s="3" t="s">
        <v>18</v>
      </c>
      <c r="E17" s="3" t="s">
        <v>18</v>
      </c>
      <c r="F17" s="3" t="s">
        <v>18</v>
      </c>
      <c r="G17" s="3" t="s">
        <v>18</v>
      </c>
      <c r="H17" s="3" t="s">
        <v>18</v>
      </c>
      <c r="I17" s="9">
        <v>0</v>
      </c>
      <c r="J17" s="3" t="s">
        <v>19</v>
      </c>
      <c r="K17" s="3" t="s">
        <v>18</v>
      </c>
      <c r="L17" s="3" t="s">
        <v>18</v>
      </c>
      <c r="M17" s="3"/>
      <c r="N17" s="3" t="s">
        <v>18</v>
      </c>
      <c r="O17" s="3" t="s">
        <v>18</v>
      </c>
      <c r="P17" s="3" t="s">
        <v>19</v>
      </c>
      <c r="Q17" s="3" t="s">
        <v>19</v>
      </c>
      <c r="R17" s="3" t="s">
        <v>19</v>
      </c>
      <c r="S17" s="3" t="s">
        <v>19</v>
      </c>
      <c r="T17" s="3" t="s">
        <v>18</v>
      </c>
      <c r="U17" s="3" t="s">
        <v>19</v>
      </c>
      <c r="V17" s="3" t="s">
        <v>19</v>
      </c>
      <c r="W17" s="12" t="s">
        <v>19</v>
      </c>
      <c r="X17" s="12" t="s">
        <v>19</v>
      </c>
      <c r="Z17" s="5" t="s">
        <v>49</v>
      </c>
    </row>
    <row r="18" spans="1:26" x14ac:dyDescent="0.35">
      <c r="A18" s="5" t="s">
        <v>24</v>
      </c>
      <c r="B18" s="3" t="s">
        <v>18</v>
      </c>
      <c r="C18" s="3" t="s">
        <v>18</v>
      </c>
      <c r="D18" s="3" t="s">
        <v>18</v>
      </c>
      <c r="E18" s="3" t="s">
        <v>18</v>
      </c>
      <c r="F18" s="3" t="s">
        <v>18</v>
      </c>
      <c r="G18" s="3" t="s">
        <v>18</v>
      </c>
      <c r="H18" s="9">
        <v>0</v>
      </c>
      <c r="I18" s="3" t="s">
        <v>18</v>
      </c>
      <c r="J18" s="3" t="s">
        <v>18</v>
      </c>
      <c r="K18" s="3" t="s">
        <v>18</v>
      </c>
      <c r="L18" s="3" t="s">
        <v>19</v>
      </c>
      <c r="M18" s="3"/>
      <c r="N18" s="3" t="s">
        <v>19</v>
      </c>
      <c r="O18" s="3" t="s">
        <v>19</v>
      </c>
      <c r="P18" s="3" t="s">
        <v>18</v>
      </c>
      <c r="Q18" s="3" t="s">
        <v>18</v>
      </c>
      <c r="R18" s="3" t="s">
        <v>19</v>
      </c>
      <c r="S18" s="3" t="s">
        <v>19</v>
      </c>
      <c r="T18" s="3" t="s">
        <v>18</v>
      </c>
      <c r="U18" s="3" t="s">
        <v>19</v>
      </c>
      <c r="V18" s="3" t="s">
        <v>18</v>
      </c>
      <c r="W18" s="12" t="s">
        <v>19</v>
      </c>
      <c r="X18" s="12" t="s">
        <v>19</v>
      </c>
      <c r="Z18" s="5" t="s">
        <v>24</v>
      </c>
    </row>
    <row r="19" spans="1:26" x14ac:dyDescent="0.35">
      <c r="A19" s="5" t="s">
        <v>32</v>
      </c>
      <c r="B19" s="3" t="s">
        <v>18</v>
      </c>
      <c r="C19" s="3" t="s">
        <v>18</v>
      </c>
      <c r="D19" s="3" t="s">
        <v>18</v>
      </c>
      <c r="E19" s="3" t="s">
        <v>18</v>
      </c>
      <c r="F19" s="3" t="s">
        <v>18</v>
      </c>
      <c r="G19" s="9">
        <v>0</v>
      </c>
      <c r="H19" s="3" t="s">
        <v>19</v>
      </c>
      <c r="I19" s="3" t="s">
        <v>18</v>
      </c>
      <c r="J19" s="3" t="s">
        <v>18</v>
      </c>
      <c r="K19" s="3" t="s">
        <v>19</v>
      </c>
      <c r="L19" s="3" t="s">
        <v>19</v>
      </c>
      <c r="M19" s="3"/>
      <c r="N19" s="3" t="s">
        <v>19</v>
      </c>
      <c r="O19" s="3" t="s">
        <v>19</v>
      </c>
      <c r="P19" s="3" t="s">
        <v>18</v>
      </c>
      <c r="Q19" s="3" t="s">
        <v>19</v>
      </c>
      <c r="R19" s="3" t="s">
        <v>19</v>
      </c>
      <c r="S19" s="3" t="s">
        <v>19</v>
      </c>
      <c r="T19" s="3" t="s">
        <v>19</v>
      </c>
      <c r="U19" s="3" t="s">
        <v>19</v>
      </c>
      <c r="V19" s="3" t="s">
        <v>18</v>
      </c>
      <c r="W19" s="12" t="s">
        <v>19</v>
      </c>
      <c r="X19" s="12" t="s">
        <v>19</v>
      </c>
      <c r="Z19" s="6" t="s">
        <v>32</v>
      </c>
    </row>
    <row r="20" spans="1:26" x14ac:dyDescent="0.35">
      <c r="A20" s="6" t="s">
        <v>26</v>
      </c>
      <c r="B20" s="3" t="s">
        <v>19</v>
      </c>
      <c r="C20" s="3" t="s">
        <v>18</v>
      </c>
      <c r="D20" s="18" t="s">
        <v>19</v>
      </c>
      <c r="E20" s="18" t="s">
        <v>18</v>
      </c>
      <c r="F20" s="9">
        <v>0</v>
      </c>
      <c r="G20" s="3" t="s">
        <v>18</v>
      </c>
      <c r="H20" s="3" t="s">
        <v>19</v>
      </c>
      <c r="I20" s="3" t="s">
        <v>18</v>
      </c>
      <c r="J20" s="3" t="s">
        <v>18</v>
      </c>
      <c r="K20" s="3" t="s">
        <v>18</v>
      </c>
      <c r="L20" s="3" t="s">
        <v>18</v>
      </c>
      <c r="M20" s="3"/>
      <c r="N20" s="3" t="s">
        <v>18</v>
      </c>
      <c r="O20" s="3" t="s">
        <v>18</v>
      </c>
      <c r="P20" s="3" t="s">
        <v>18</v>
      </c>
      <c r="Q20" s="3" t="s">
        <v>18</v>
      </c>
      <c r="R20" s="3" t="s">
        <v>18</v>
      </c>
      <c r="S20" s="3" t="s">
        <v>18</v>
      </c>
      <c r="T20" s="3" t="s">
        <v>18</v>
      </c>
      <c r="U20" s="3" t="s">
        <v>18</v>
      </c>
      <c r="V20" s="3" t="s">
        <v>18</v>
      </c>
      <c r="W20" s="12" t="s">
        <v>19</v>
      </c>
      <c r="X20" s="12" t="s">
        <v>19</v>
      </c>
      <c r="Z20" s="6" t="s">
        <v>26</v>
      </c>
    </row>
    <row r="21" spans="1:26" x14ac:dyDescent="0.35">
      <c r="A21" s="6" t="s">
        <v>25</v>
      </c>
      <c r="B21" s="3" t="s">
        <v>18</v>
      </c>
      <c r="C21" s="3" t="s">
        <v>18</v>
      </c>
      <c r="D21" s="3" t="s">
        <v>18</v>
      </c>
      <c r="E21" s="9">
        <v>0</v>
      </c>
      <c r="F21" s="3" t="s">
        <v>18</v>
      </c>
      <c r="G21" s="3" t="s">
        <v>19</v>
      </c>
      <c r="H21" s="3" t="s">
        <v>18</v>
      </c>
      <c r="I21" s="3" t="s">
        <v>19</v>
      </c>
      <c r="J21" s="3" t="s">
        <v>19</v>
      </c>
      <c r="K21" s="3" t="s">
        <v>19</v>
      </c>
      <c r="L21" s="3" t="s">
        <v>19</v>
      </c>
      <c r="M21" s="3"/>
      <c r="N21" s="3" t="s">
        <v>19</v>
      </c>
      <c r="O21" s="3" t="s">
        <v>19</v>
      </c>
      <c r="P21" s="3" t="s">
        <v>19</v>
      </c>
      <c r="Q21" s="3" t="s">
        <v>18</v>
      </c>
      <c r="R21" s="3" t="s">
        <v>18</v>
      </c>
      <c r="S21" s="3" t="s">
        <v>18</v>
      </c>
      <c r="T21" s="3" t="s">
        <v>19</v>
      </c>
      <c r="U21" s="3" t="s">
        <v>18</v>
      </c>
      <c r="V21" s="3" t="s">
        <v>19</v>
      </c>
      <c r="W21" s="12" t="s">
        <v>19</v>
      </c>
      <c r="X21" s="12" t="s">
        <v>19</v>
      </c>
      <c r="Z21" s="5" t="s">
        <v>25</v>
      </c>
    </row>
    <row r="22" spans="1:26" x14ac:dyDescent="0.35">
      <c r="A22" s="6" t="s">
        <v>35</v>
      </c>
      <c r="B22" s="3" t="s">
        <v>18</v>
      </c>
      <c r="C22" s="3" t="s">
        <v>18</v>
      </c>
      <c r="D22" s="9" t="s">
        <v>18</v>
      </c>
      <c r="E22" s="3" t="s">
        <v>18</v>
      </c>
      <c r="F22" s="3" t="s">
        <v>18</v>
      </c>
      <c r="G22" s="3" t="s">
        <v>18</v>
      </c>
      <c r="H22" s="3" t="s">
        <v>18</v>
      </c>
      <c r="I22" s="3" t="s">
        <v>18</v>
      </c>
      <c r="J22" s="3" t="s">
        <v>18</v>
      </c>
      <c r="K22" s="3" t="s">
        <v>18</v>
      </c>
      <c r="L22" s="3" t="s">
        <v>18</v>
      </c>
      <c r="M22" s="3"/>
      <c r="N22" s="3" t="s">
        <v>19</v>
      </c>
      <c r="O22" s="3" t="s">
        <v>18</v>
      </c>
      <c r="P22" s="3" t="s">
        <v>19</v>
      </c>
      <c r="Q22" s="3" t="s">
        <v>19</v>
      </c>
      <c r="R22" s="3" t="s">
        <v>19</v>
      </c>
      <c r="S22" s="3" t="s">
        <v>18</v>
      </c>
      <c r="T22" s="3" t="s">
        <v>19</v>
      </c>
      <c r="U22" s="3" t="s">
        <v>18</v>
      </c>
      <c r="V22" s="3" t="s">
        <v>19</v>
      </c>
      <c r="W22" s="12" t="s">
        <v>19</v>
      </c>
      <c r="X22" s="12" t="s">
        <v>19</v>
      </c>
      <c r="Z22" s="6" t="s">
        <v>35</v>
      </c>
    </row>
    <row r="23" spans="1:26" x14ac:dyDescent="0.35">
      <c r="A23" s="5" t="s">
        <v>27</v>
      </c>
      <c r="B23" s="3" t="s">
        <v>18</v>
      </c>
      <c r="C23" s="9">
        <v>0</v>
      </c>
      <c r="D23" s="3" t="s">
        <v>18</v>
      </c>
      <c r="E23" s="3" t="s">
        <v>18</v>
      </c>
      <c r="F23" s="3" t="s">
        <v>18</v>
      </c>
      <c r="G23" s="3" t="s">
        <v>18</v>
      </c>
      <c r="H23" s="3" t="s">
        <v>18</v>
      </c>
      <c r="I23" s="3" t="s">
        <v>18</v>
      </c>
      <c r="J23" s="3" t="s">
        <v>18</v>
      </c>
      <c r="K23" s="3" t="s">
        <v>18</v>
      </c>
      <c r="L23" s="3" t="s">
        <v>18</v>
      </c>
      <c r="M23" s="3"/>
      <c r="N23" s="3" t="s">
        <v>18</v>
      </c>
      <c r="O23" s="3" t="s">
        <v>19</v>
      </c>
      <c r="P23" s="3" t="s">
        <v>18</v>
      </c>
      <c r="Q23" s="3" t="s">
        <v>18</v>
      </c>
      <c r="R23" s="3" t="s">
        <v>18</v>
      </c>
      <c r="S23" s="3" t="s">
        <v>18</v>
      </c>
      <c r="T23" s="3" t="s">
        <v>19</v>
      </c>
      <c r="U23" s="3" t="s">
        <v>18</v>
      </c>
      <c r="V23" s="3" t="s">
        <v>19</v>
      </c>
      <c r="W23" s="12" t="s">
        <v>19</v>
      </c>
      <c r="X23" s="12" t="s">
        <v>19</v>
      </c>
      <c r="Z23" s="6" t="s">
        <v>27</v>
      </c>
    </row>
    <row r="24" spans="1:26" x14ac:dyDescent="0.35">
      <c r="A24" s="6" t="s">
        <v>42</v>
      </c>
      <c r="B24" s="9">
        <v>0</v>
      </c>
      <c r="C24" s="3" t="s">
        <v>19</v>
      </c>
      <c r="D24" s="3" t="s">
        <v>19</v>
      </c>
      <c r="E24" s="3" t="s">
        <v>19</v>
      </c>
      <c r="F24" s="3" t="s">
        <v>18</v>
      </c>
      <c r="G24" s="3" t="s">
        <v>19</v>
      </c>
      <c r="H24" s="3" t="s">
        <v>19</v>
      </c>
      <c r="I24" s="3" t="s">
        <v>19</v>
      </c>
      <c r="J24" s="3" t="s">
        <v>19</v>
      </c>
      <c r="K24" s="3" t="s">
        <v>18</v>
      </c>
      <c r="L24" s="3" t="s">
        <v>18</v>
      </c>
      <c r="M24" s="3"/>
      <c r="N24" s="3" t="s">
        <v>19</v>
      </c>
      <c r="O24" s="3" t="s">
        <v>18</v>
      </c>
      <c r="P24" s="3" t="s">
        <v>18</v>
      </c>
      <c r="Q24" s="3" t="s">
        <v>18</v>
      </c>
      <c r="R24" s="3" t="s">
        <v>19</v>
      </c>
      <c r="S24" s="3" t="s">
        <v>18</v>
      </c>
      <c r="T24" s="3" t="s">
        <v>19</v>
      </c>
      <c r="U24" s="3" t="s">
        <v>19</v>
      </c>
      <c r="V24" s="3" t="s">
        <v>18</v>
      </c>
      <c r="W24" s="12" t="s">
        <v>19</v>
      </c>
      <c r="X24" s="12" t="s">
        <v>19</v>
      </c>
      <c r="Z24" s="8" t="s">
        <v>42</v>
      </c>
    </row>
    <row r="27" spans="1:26" ht="58" x14ac:dyDescent="0.35">
      <c r="A27" s="11"/>
      <c r="B27" s="11" t="s">
        <v>42</v>
      </c>
      <c r="C27" s="11" t="s">
        <v>27</v>
      </c>
      <c r="D27" s="11" t="s">
        <v>35</v>
      </c>
      <c r="E27" s="11" t="s">
        <v>25</v>
      </c>
      <c r="F27" s="11" t="s">
        <v>26</v>
      </c>
      <c r="G27" s="11" t="s">
        <v>32</v>
      </c>
      <c r="H27" s="11" t="s">
        <v>24</v>
      </c>
      <c r="I27" s="11" t="s">
        <v>49</v>
      </c>
      <c r="J27" s="11" t="s">
        <v>52</v>
      </c>
      <c r="K27" s="11" t="s">
        <v>50</v>
      </c>
      <c r="L27" s="11" t="s">
        <v>43</v>
      </c>
      <c r="M27" s="11" t="s">
        <v>21</v>
      </c>
      <c r="N27" s="11" t="s">
        <v>38</v>
      </c>
      <c r="O27" s="11" t="s">
        <v>30</v>
      </c>
      <c r="P27" s="11" t="s">
        <v>51</v>
      </c>
      <c r="Q27" s="11" t="s">
        <v>28</v>
      </c>
      <c r="R27" s="11" t="s">
        <v>31</v>
      </c>
      <c r="S27" s="11" t="s">
        <v>41</v>
      </c>
      <c r="T27" s="11" t="s">
        <v>23</v>
      </c>
      <c r="U27" s="11" t="s">
        <v>40</v>
      </c>
      <c r="V27" s="11" t="s">
        <v>53</v>
      </c>
      <c r="W27" s="11" t="s">
        <v>34</v>
      </c>
      <c r="X27" s="11" t="s">
        <v>33</v>
      </c>
    </row>
    <row r="28" spans="1:26" x14ac:dyDescent="0.35">
      <c r="A28" s="2" t="s">
        <v>33</v>
      </c>
      <c r="B28" s="3" t="s">
        <v>18</v>
      </c>
      <c r="C28" s="3" t="s">
        <v>18</v>
      </c>
      <c r="D28" s="3" t="s">
        <v>18</v>
      </c>
      <c r="E28" s="3" t="s">
        <v>18</v>
      </c>
      <c r="F28" s="3" t="s">
        <v>18</v>
      </c>
      <c r="G28" s="3" t="s">
        <v>18</v>
      </c>
      <c r="H28" s="3" t="s">
        <v>18</v>
      </c>
      <c r="I28" s="3" t="s">
        <v>18</v>
      </c>
      <c r="J28" s="3" t="s">
        <v>18</v>
      </c>
      <c r="K28" s="3" t="s">
        <v>18</v>
      </c>
      <c r="L28" s="3" t="s">
        <v>18</v>
      </c>
      <c r="M28" s="3" t="s">
        <v>18</v>
      </c>
      <c r="N28" s="3" t="s">
        <v>18</v>
      </c>
      <c r="O28" s="3" t="s">
        <v>18</v>
      </c>
      <c r="P28" s="3" t="s">
        <v>18</v>
      </c>
      <c r="Q28" s="3" t="s">
        <v>18</v>
      </c>
      <c r="R28" s="3" t="s">
        <v>18</v>
      </c>
      <c r="S28" s="3" t="s">
        <v>18</v>
      </c>
      <c r="T28" s="3" t="s">
        <v>18</v>
      </c>
      <c r="U28" s="3" t="s">
        <v>18</v>
      </c>
      <c r="V28" s="12" t="s">
        <v>18</v>
      </c>
      <c r="W28" s="12" t="s">
        <v>18</v>
      </c>
      <c r="X28" s="19"/>
    </row>
    <row r="29" spans="1:26" x14ac:dyDescent="0.35">
      <c r="A29" s="2" t="s">
        <v>34</v>
      </c>
      <c r="B29" s="3" t="s">
        <v>18</v>
      </c>
      <c r="C29" s="3" t="s">
        <v>18</v>
      </c>
      <c r="D29" s="3" t="s">
        <v>18</v>
      </c>
      <c r="E29" s="3" t="s">
        <v>18</v>
      </c>
      <c r="F29" s="3" t="s">
        <v>18</v>
      </c>
      <c r="G29" s="3" t="s">
        <v>18</v>
      </c>
      <c r="H29" s="3" t="s">
        <v>18</v>
      </c>
      <c r="I29" s="3" t="s">
        <v>18</v>
      </c>
      <c r="J29" s="3" t="s">
        <v>18</v>
      </c>
      <c r="K29" s="3" t="s">
        <v>18</v>
      </c>
      <c r="L29" s="3" t="s">
        <v>18</v>
      </c>
      <c r="M29" s="3" t="s">
        <v>18</v>
      </c>
      <c r="N29" s="3" t="s">
        <v>18</v>
      </c>
      <c r="O29" s="3" t="s">
        <v>18</v>
      </c>
      <c r="P29" s="3" t="s">
        <v>18</v>
      </c>
      <c r="Q29" s="3" t="s">
        <v>18</v>
      </c>
      <c r="R29" s="3" t="s">
        <v>18</v>
      </c>
      <c r="S29" s="3" t="s">
        <v>18</v>
      </c>
      <c r="T29" s="3" t="s">
        <v>18</v>
      </c>
      <c r="U29" s="3" t="s">
        <v>18</v>
      </c>
      <c r="V29" s="12" t="s">
        <v>18</v>
      </c>
      <c r="W29" s="13"/>
      <c r="X29" s="2" t="s">
        <v>19</v>
      </c>
    </row>
    <row r="30" spans="1:26" x14ac:dyDescent="0.35">
      <c r="A30" s="2" t="s">
        <v>53</v>
      </c>
      <c r="B30" s="3" t="s">
        <v>18</v>
      </c>
      <c r="C30" s="3" t="s">
        <v>18</v>
      </c>
      <c r="D30" s="3" t="s">
        <v>18</v>
      </c>
      <c r="E30" s="3" t="s">
        <v>18</v>
      </c>
      <c r="F30" s="3" t="s">
        <v>18</v>
      </c>
      <c r="G30" s="3" t="s">
        <v>18</v>
      </c>
      <c r="H30" s="3" t="s">
        <v>18</v>
      </c>
      <c r="I30" s="17" t="s">
        <v>18</v>
      </c>
      <c r="J30" s="3" t="s">
        <v>18</v>
      </c>
      <c r="K30" s="3" t="s">
        <v>18</v>
      </c>
      <c r="L30" s="3" t="s">
        <v>18</v>
      </c>
      <c r="M30" s="3" t="s">
        <v>18</v>
      </c>
      <c r="N30" s="3" t="s">
        <v>18</v>
      </c>
      <c r="O30" s="3" t="s">
        <v>18</v>
      </c>
      <c r="P30" s="3" t="s">
        <v>18</v>
      </c>
      <c r="Q30" s="3" t="s">
        <v>18</v>
      </c>
      <c r="R30" s="3" t="s">
        <v>18</v>
      </c>
      <c r="S30" s="3" t="s">
        <v>18</v>
      </c>
      <c r="T30" s="3" t="s">
        <v>18</v>
      </c>
      <c r="U30" s="3" t="s">
        <v>18</v>
      </c>
      <c r="V30" s="13"/>
      <c r="W30" s="12" t="s">
        <v>19</v>
      </c>
      <c r="X30" s="2" t="s">
        <v>19</v>
      </c>
    </row>
    <row r="31" spans="1:26" x14ac:dyDescent="0.35">
      <c r="A31" s="2" t="s">
        <v>40</v>
      </c>
      <c r="B31" s="3" t="s">
        <v>18</v>
      </c>
      <c r="C31" s="3" t="s">
        <v>18</v>
      </c>
      <c r="D31" s="3" t="s">
        <v>18</v>
      </c>
      <c r="E31" s="3" t="s">
        <v>18</v>
      </c>
      <c r="F31" s="3" t="s">
        <v>18</v>
      </c>
      <c r="G31" s="3" t="s">
        <v>18</v>
      </c>
      <c r="H31" s="3" t="s">
        <v>18</v>
      </c>
      <c r="I31" s="17" t="s">
        <v>18</v>
      </c>
      <c r="J31" s="3" t="s">
        <v>18</v>
      </c>
      <c r="K31" s="3" t="s">
        <v>18</v>
      </c>
      <c r="L31" s="3" t="s">
        <v>18</v>
      </c>
      <c r="M31" s="3" t="s">
        <v>18</v>
      </c>
      <c r="N31" s="3" t="s">
        <v>18</v>
      </c>
      <c r="O31" s="3" t="s">
        <v>18</v>
      </c>
      <c r="P31" s="3" t="s">
        <v>18</v>
      </c>
      <c r="Q31" s="3" t="s">
        <v>18</v>
      </c>
      <c r="R31" s="3" t="s">
        <v>18</v>
      </c>
      <c r="S31" s="3" t="s">
        <v>18</v>
      </c>
      <c r="T31" s="3" t="s">
        <v>18</v>
      </c>
      <c r="U31" s="9"/>
      <c r="V31" s="3" t="str">
        <f t="shared" ref="F31:W48" si="0">V5</f>
        <v>Y</v>
      </c>
      <c r="W31" s="3" t="str">
        <f t="shared" si="0"/>
        <v>Y</v>
      </c>
      <c r="X31" s="3" t="str">
        <f t="shared" ref="X31:X43" si="1">X5</f>
        <v>Y</v>
      </c>
    </row>
    <row r="32" spans="1:26" x14ac:dyDescent="0.35">
      <c r="A32" s="2" t="s">
        <v>23</v>
      </c>
      <c r="B32" s="3" t="s">
        <v>18</v>
      </c>
      <c r="C32" s="3" t="s">
        <v>18</v>
      </c>
      <c r="D32" s="3" t="s">
        <v>18</v>
      </c>
      <c r="E32" s="3" t="s">
        <v>18</v>
      </c>
      <c r="F32" s="3" t="s">
        <v>18</v>
      </c>
      <c r="G32" s="3" t="s">
        <v>18</v>
      </c>
      <c r="H32" s="3" t="s">
        <v>18</v>
      </c>
      <c r="I32" s="17" t="s">
        <v>18</v>
      </c>
      <c r="J32" s="3" t="s">
        <v>18</v>
      </c>
      <c r="K32" s="3" t="s">
        <v>18</v>
      </c>
      <c r="L32" s="3" t="s">
        <v>18</v>
      </c>
      <c r="M32" s="3" t="s">
        <v>18</v>
      </c>
      <c r="N32" s="3" t="s">
        <v>18</v>
      </c>
      <c r="O32" s="3" t="s">
        <v>18</v>
      </c>
      <c r="P32" s="3" t="s">
        <v>18</v>
      </c>
      <c r="Q32" s="3" t="s">
        <v>18</v>
      </c>
      <c r="R32" s="3" t="s">
        <v>18</v>
      </c>
      <c r="S32" s="3" t="s">
        <v>18</v>
      </c>
      <c r="T32" s="9"/>
      <c r="U32" s="3" t="str">
        <f t="shared" si="0"/>
        <v>Y</v>
      </c>
      <c r="V32" s="3" t="str">
        <f t="shared" si="0"/>
        <v>N</v>
      </c>
      <c r="W32" s="3" t="str">
        <f t="shared" si="0"/>
        <v>Y</v>
      </c>
      <c r="X32" s="3" t="str">
        <f t="shared" si="1"/>
        <v>Y</v>
      </c>
    </row>
    <row r="33" spans="1:24" x14ac:dyDescent="0.35">
      <c r="A33" s="2" t="s">
        <v>41</v>
      </c>
      <c r="B33" s="3" t="s">
        <v>18</v>
      </c>
      <c r="C33" s="3" t="s">
        <v>18</v>
      </c>
      <c r="D33" s="3" t="s">
        <v>18</v>
      </c>
      <c r="E33" s="3" t="s">
        <v>18</v>
      </c>
      <c r="F33" s="3" t="s">
        <v>18</v>
      </c>
      <c r="G33" s="3" t="s">
        <v>18</v>
      </c>
      <c r="H33" s="3" t="s">
        <v>18</v>
      </c>
      <c r="I33" s="17" t="s">
        <v>18</v>
      </c>
      <c r="J33" s="3" t="s">
        <v>18</v>
      </c>
      <c r="K33" s="3" t="s">
        <v>18</v>
      </c>
      <c r="L33" s="3" t="s">
        <v>18</v>
      </c>
      <c r="M33" s="3" t="s">
        <v>18</v>
      </c>
      <c r="N33" s="3" t="s">
        <v>18</v>
      </c>
      <c r="O33" s="3" t="s">
        <v>18</v>
      </c>
      <c r="P33" s="3" t="s">
        <v>18</v>
      </c>
      <c r="Q33" s="3" t="s">
        <v>18</v>
      </c>
      <c r="R33" s="3" t="s">
        <v>18</v>
      </c>
      <c r="S33" s="9"/>
      <c r="T33" s="3" t="str">
        <f t="shared" si="0"/>
        <v>N</v>
      </c>
      <c r="U33" s="3" t="str">
        <f t="shared" si="0"/>
        <v>Y</v>
      </c>
      <c r="V33" s="3" t="str">
        <f t="shared" si="0"/>
        <v>Y</v>
      </c>
      <c r="W33" s="3" t="str">
        <f t="shared" si="0"/>
        <v>Y</v>
      </c>
      <c r="X33" s="3" t="str">
        <f t="shared" si="1"/>
        <v>Y</v>
      </c>
    </row>
    <row r="34" spans="1:24" x14ac:dyDescent="0.35">
      <c r="A34" s="5" t="s">
        <v>31</v>
      </c>
      <c r="B34" s="3" t="s">
        <v>18</v>
      </c>
      <c r="C34" s="3" t="s">
        <v>18</v>
      </c>
      <c r="D34" s="3" t="s">
        <v>18</v>
      </c>
      <c r="E34" s="3" t="s">
        <v>18</v>
      </c>
      <c r="F34" s="3" t="s">
        <v>18</v>
      </c>
      <c r="G34" s="3" t="s">
        <v>18</v>
      </c>
      <c r="H34" s="3" t="s">
        <v>18</v>
      </c>
      <c r="I34" s="17" t="s">
        <v>18</v>
      </c>
      <c r="J34" s="3" t="s">
        <v>18</v>
      </c>
      <c r="K34" s="3" t="s">
        <v>18</v>
      </c>
      <c r="L34" s="3" t="s">
        <v>18</v>
      </c>
      <c r="M34" s="3" t="s">
        <v>18</v>
      </c>
      <c r="N34" s="3" t="s">
        <v>18</v>
      </c>
      <c r="O34" s="3" t="s">
        <v>18</v>
      </c>
      <c r="P34" s="3" t="s">
        <v>18</v>
      </c>
      <c r="Q34" s="3" t="s">
        <v>18</v>
      </c>
      <c r="R34" s="9"/>
      <c r="S34" s="3" t="str">
        <f t="shared" si="0"/>
        <v>Y</v>
      </c>
      <c r="T34" s="3" t="str">
        <f t="shared" si="0"/>
        <v>Y</v>
      </c>
      <c r="U34" s="3" t="str">
        <f t="shared" si="0"/>
        <v>Y</v>
      </c>
      <c r="V34" s="3" t="str">
        <f t="shared" si="0"/>
        <v>Y</v>
      </c>
      <c r="W34" s="3" t="str">
        <f t="shared" si="0"/>
        <v>Y</v>
      </c>
      <c r="X34" s="3" t="str">
        <f t="shared" si="1"/>
        <v>Y</v>
      </c>
    </row>
    <row r="35" spans="1:24" x14ac:dyDescent="0.35">
      <c r="A35" s="5" t="s">
        <v>28</v>
      </c>
      <c r="B35" s="3" t="s">
        <v>18</v>
      </c>
      <c r="C35" s="3" t="s">
        <v>18</v>
      </c>
      <c r="D35" s="3" t="s">
        <v>18</v>
      </c>
      <c r="E35" s="3" t="s">
        <v>18</v>
      </c>
      <c r="F35" s="3" t="s">
        <v>18</v>
      </c>
      <c r="G35" s="3" t="s">
        <v>18</v>
      </c>
      <c r="H35" s="3" t="s">
        <v>18</v>
      </c>
      <c r="I35" s="17" t="s">
        <v>18</v>
      </c>
      <c r="J35" s="3" t="s">
        <v>18</v>
      </c>
      <c r="K35" s="3" t="s">
        <v>18</v>
      </c>
      <c r="L35" s="3" t="s">
        <v>18</v>
      </c>
      <c r="M35" s="3" t="s">
        <v>18</v>
      </c>
      <c r="N35" s="3" t="s">
        <v>18</v>
      </c>
      <c r="O35" s="3" t="s">
        <v>18</v>
      </c>
      <c r="P35" s="3" t="s">
        <v>18</v>
      </c>
      <c r="Q35" s="9"/>
      <c r="R35" s="3" t="str">
        <f t="shared" si="0"/>
        <v>Y</v>
      </c>
      <c r="S35" s="3" t="str">
        <f t="shared" si="0"/>
        <v>Y</v>
      </c>
      <c r="T35" s="3" t="str">
        <f t="shared" si="0"/>
        <v>N</v>
      </c>
      <c r="U35" s="3" t="str">
        <f t="shared" si="0"/>
        <v>Y</v>
      </c>
      <c r="V35" s="3" t="str">
        <f t="shared" si="0"/>
        <v>Y</v>
      </c>
      <c r="W35" s="3" t="str">
        <f t="shared" si="0"/>
        <v>Y</v>
      </c>
      <c r="X35" s="3" t="str">
        <f t="shared" si="1"/>
        <v>Y</v>
      </c>
    </row>
    <row r="36" spans="1:24" x14ac:dyDescent="0.35">
      <c r="A36" s="5" t="s">
        <v>51</v>
      </c>
      <c r="B36" s="3" t="s">
        <v>18</v>
      </c>
      <c r="C36" s="3" t="s">
        <v>18</v>
      </c>
      <c r="D36" s="3" t="s">
        <v>18</v>
      </c>
      <c r="E36" s="3" t="s">
        <v>18</v>
      </c>
      <c r="F36" s="3" t="s">
        <v>18</v>
      </c>
      <c r="G36" s="3" t="s">
        <v>18</v>
      </c>
      <c r="H36" s="3" t="s">
        <v>18</v>
      </c>
      <c r="I36" s="17" t="s">
        <v>18</v>
      </c>
      <c r="J36" s="3" t="s">
        <v>18</v>
      </c>
      <c r="K36" s="3" t="s">
        <v>18</v>
      </c>
      <c r="L36" s="3" t="s">
        <v>18</v>
      </c>
      <c r="M36" s="3" t="s">
        <v>18</v>
      </c>
      <c r="N36" s="3" t="s">
        <v>18</v>
      </c>
      <c r="O36" s="3" t="s">
        <v>18</v>
      </c>
      <c r="P36" s="9"/>
      <c r="Q36" s="3" t="str">
        <f t="shared" si="0"/>
        <v>Y</v>
      </c>
      <c r="R36" s="3" t="str">
        <f t="shared" si="0"/>
        <v>Y</v>
      </c>
      <c r="S36" s="3" t="str">
        <f t="shared" si="0"/>
        <v>Y</v>
      </c>
      <c r="T36" s="3" t="str">
        <f t="shared" si="0"/>
        <v>N</v>
      </c>
      <c r="U36" s="3" t="str">
        <f t="shared" si="0"/>
        <v>Y</v>
      </c>
      <c r="V36" s="3" t="str">
        <f t="shared" si="0"/>
        <v>Y</v>
      </c>
      <c r="W36" s="3" t="str">
        <f t="shared" si="0"/>
        <v>Y</v>
      </c>
      <c r="X36" s="3" t="str">
        <f t="shared" si="1"/>
        <v>Y</v>
      </c>
    </row>
    <row r="37" spans="1:24" x14ac:dyDescent="0.35">
      <c r="A37" s="5" t="s">
        <v>30</v>
      </c>
      <c r="B37" s="3" t="s">
        <v>18</v>
      </c>
      <c r="C37" s="3" t="s">
        <v>18</v>
      </c>
      <c r="D37" s="3" t="s">
        <v>18</v>
      </c>
      <c r="E37" s="3" t="s">
        <v>18</v>
      </c>
      <c r="F37" s="3" t="s">
        <v>18</v>
      </c>
      <c r="G37" s="3" t="s">
        <v>18</v>
      </c>
      <c r="H37" s="3" t="s">
        <v>18</v>
      </c>
      <c r="I37" s="17" t="s">
        <v>18</v>
      </c>
      <c r="J37" s="3" t="s">
        <v>18</v>
      </c>
      <c r="K37" s="3" t="s">
        <v>18</v>
      </c>
      <c r="L37" s="3" t="s">
        <v>18</v>
      </c>
      <c r="M37" s="3" t="s">
        <v>18</v>
      </c>
      <c r="N37" s="3" t="s">
        <v>18</v>
      </c>
      <c r="O37" s="9"/>
      <c r="P37" s="3" t="str">
        <f t="shared" si="0"/>
        <v>N</v>
      </c>
      <c r="Q37" s="3" t="str">
        <f t="shared" si="0"/>
        <v>Y</v>
      </c>
      <c r="R37" s="3" t="str">
        <f t="shared" si="0"/>
        <v>Y</v>
      </c>
      <c r="S37" s="3" t="str">
        <f t="shared" si="0"/>
        <v>Y</v>
      </c>
      <c r="T37" s="3" t="str">
        <f t="shared" si="0"/>
        <v>Y</v>
      </c>
      <c r="U37" s="3" t="str">
        <f t="shared" si="0"/>
        <v>Y</v>
      </c>
      <c r="V37" s="3" t="str">
        <f t="shared" si="0"/>
        <v>Y</v>
      </c>
      <c r="W37" s="3" t="str">
        <f t="shared" si="0"/>
        <v>Y</v>
      </c>
      <c r="X37" s="3" t="str">
        <f t="shared" si="1"/>
        <v>Y</v>
      </c>
    </row>
    <row r="38" spans="1:24" x14ac:dyDescent="0.35">
      <c r="A38" s="5" t="s">
        <v>38</v>
      </c>
      <c r="B38" s="3" t="s">
        <v>18</v>
      </c>
      <c r="C38" s="3" t="s">
        <v>18</v>
      </c>
      <c r="D38" s="3" t="s">
        <v>18</v>
      </c>
      <c r="E38" s="3" t="s">
        <v>18</v>
      </c>
      <c r="F38" s="3" t="s">
        <v>18</v>
      </c>
      <c r="G38" s="3" t="s">
        <v>18</v>
      </c>
      <c r="H38" s="3" t="s">
        <v>18</v>
      </c>
      <c r="I38" s="17" t="s">
        <v>18</v>
      </c>
      <c r="J38" s="3" t="s">
        <v>18</v>
      </c>
      <c r="K38" s="3" t="s">
        <v>18</v>
      </c>
      <c r="L38" s="3" t="s">
        <v>18</v>
      </c>
      <c r="M38" s="3" t="s">
        <v>18</v>
      </c>
      <c r="N38" s="9"/>
      <c r="O38" s="3" t="str">
        <f t="shared" si="0"/>
        <v>Y</v>
      </c>
      <c r="P38" s="3" t="str">
        <f t="shared" si="0"/>
        <v>N</v>
      </c>
      <c r="Q38" s="3" t="str">
        <f t="shared" si="0"/>
        <v>Y</v>
      </c>
      <c r="R38" s="3" t="str">
        <f t="shared" si="0"/>
        <v>Y</v>
      </c>
      <c r="S38" s="3" t="str">
        <f t="shared" si="0"/>
        <v>Y</v>
      </c>
      <c r="T38" s="3" t="str">
        <f t="shared" si="0"/>
        <v>Y</v>
      </c>
      <c r="U38" s="3" t="str">
        <f t="shared" si="0"/>
        <v>Y</v>
      </c>
      <c r="V38" s="3" t="str">
        <f t="shared" si="0"/>
        <v>N</v>
      </c>
      <c r="W38" s="3" t="str">
        <f t="shared" si="0"/>
        <v>Y</v>
      </c>
      <c r="X38" s="3" t="str">
        <f t="shared" si="1"/>
        <v>Y</v>
      </c>
    </row>
    <row r="39" spans="1:24" x14ac:dyDescent="0.35">
      <c r="A39" s="5" t="s">
        <v>21</v>
      </c>
      <c r="B39" s="3" t="s">
        <v>18</v>
      </c>
      <c r="C39" s="3" t="s">
        <v>18</v>
      </c>
      <c r="D39" s="3" t="s">
        <v>18</v>
      </c>
      <c r="E39" s="3" t="s">
        <v>18</v>
      </c>
      <c r="F39" s="3" t="s">
        <v>18</v>
      </c>
      <c r="G39" s="3" t="s">
        <v>18</v>
      </c>
      <c r="H39" s="3" t="s">
        <v>18</v>
      </c>
      <c r="I39" s="17" t="s">
        <v>18</v>
      </c>
      <c r="J39" s="3" t="s">
        <v>18</v>
      </c>
      <c r="K39" s="3" t="s">
        <v>18</v>
      </c>
      <c r="L39" s="3" t="s">
        <v>18</v>
      </c>
      <c r="M39" s="9"/>
      <c r="N39" s="3">
        <f t="shared" si="0"/>
        <v>0</v>
      </c>
      <c r="O39" s="3">
        <f t="shared" si="0"/>
        <v>0</v>
      </c>
      <c r="P39" s="3">
        <f t="shared" si="0"/>
        <v>0</v>
      </c>
      <c r="Q39" s="3">
        <f t="shared" si="0"/>
        <v>0</v>
      </c>
      <c r="R39" s="3">
        <f t="shared" si="0"/>
        <v>0</v>
      </c>
      <c r="S39" s="3">
        <f t="shared" si="0"/>
        <v>0</v>
      </c>
      <c r="T39" s="3">
        <f t="shared" si="0"/>
        <v>0</v>
      </c>
      <c r="U39" s="3">
        <f t="shared" si="0"/>
        <v>0</v>
      </c>
      <c r="V39" s="3">
        <f t="shared" si="0"/>
        <v>0</v>
      </c>
      <c r="W39" s="3">
        <f t="shared" si="0"/>
        <v>0</v>
      </c>
      <c r="X39" s="3">
        <f t="shared" si="1"/>
        <v>0</v>
      </c>
    </row>
    <row r="40" spans="1:24" x14ac:dyDescent="0.35">
      <c r="A40" s="5" t="s">
        <v>43</v>
      </c>
      <c r="B40" s="3" t="s">
        <v>18</v>
      </c>
      <c r="C40" s="3" t="s">
        <v>18</v>
      </c>
      <c r="D40" s="3" t="s">
        <v>18</v>
      </c>
      <c r="E40" s="3" t="s">
        <v>18</v>
      </c>
      <c r="F40" s="3" t="s">
        <v>18</v>
      </c>
      <c r="G40" s="3" t="s">
        <v>18</v>
      </c>
      <c r="H40" s="3" t="s">
        <v>18</v>
      </c>
      <c r="I40" s="3" t="s">
        <v>18</v>
      </c>
      <c r="J40" s="3" t="s">
        <v>18</v>
      </c>
      <c r="K40" s="3" t="s">
        <v>18</v>
      </c>
      <c r="L40" s="9"/>
      <c r="M40" s="3">
        <f t="shared" si="0"/>
        <v>0</v>
      </c>
      <c r="N40" s="3" t="str">
        <f t="shared" si="0"/>
        <v>Y</v>
      </c>
      <c r="O40" s="3" t="str">
        <f t="shared" si="0"/>
        <v>Y</v>
      </c>
      <c r="P40" s="3" t="str">
        <f t="shared" si="0"/>
        <v>N</v>
      </c>
      <c r="Q40" s="3" t="str">
        <f t="shared" si="0"/>
        <v>Y</v>
      </c>
      <c r="R40" s="3" t="str">
        <f t="shared" si="0"/>
        <v>Y</v>
      </c>
      <c r="S40" s="3" t="str">
        <f t="shared" si="0"/>
        <v>Y</v>
      </c>
      <c r="T40" s="3" t="str">
        <f t="shared" si="0"/>
        <v>Y</v>
      </c>
      <c r="U40" s="3" t="str">
        <f t="shared" si="0"/>
        <v>Y</v>
      </c>
      <c r="V40" s="3" t="str">
        <f t="shared" si="0"/>
        <v>N</v>
      </c>
      <c r="W40" s="3" t="str">
        <f t="shared" si="0"/>
        <v>Y</v>
      </c>
      <c r="X40" s="3" t="str">
        <f t="shared" si="1"/>
        <v>Y</v>
      </c>
    </row>
    <row r="41" spans="1:24" x14ac:dyDescent="0.35">
      <c r="A41" s="5" t="s">
        <v>50</v>
      </c>
      <c r="B41" s="3" t="s">
        <v>18</v>
      </c>
      <c r="C41" s="3" t="s">
        <v>18</v>
      </c>
      <c r="D41" s="3" t="s">
        <v>18</v>
      </c>
      <c r="E41" s="3" t="s">
        <v>18</v>
      </c>
      <c r="F41" s="3" t="s">
        <v>18</v>
      </c>
      <c r="G41" s="3" t="s">
        <v>18</v>
      </c>
      <c r="H41" s="3" t="s">
        <v>18</v>
      </c>
      <c r="I41" s="3" t="s">
        <v>18</v>
      </c>
      <c r="J41" s="3" t="s">
        <v>18</v>
      </c>
      <c r="K41" s="9"/>
      <c r="L41" s="3" t="str">
        <f t="shared" si="0"/>
        <v>Y</v>
      </c>
      <c r="M41" s="3">
        <f t="shared" si="0"/>
        <v>0</v>
      </c>
      <c r="N41" s="3" t="str">
        <f t="shared" si="0"/>
        <v>Y</v>
      </c>
      <c r="O41" s="3" t="str">
        <f t="shared" si="0"/>
        <v>Y</v>
      </c>
      <c r="P41" s="3" t="str">
        <f t="shared" si="0"/>
        <v>N</v>
      </c>
      <c r="Q41" s="3" t="str">
        <f t="shared" si="0"/>
        <v>Y</v>
      </c>
      <c r="R41" s="3" t="str">
        <f t="shared" si="0"/>
        <v>Y</v>
      </c>
      <c r="S41" s="3" t="str">
        <f t="shared" si="0"/>
        <v>Y</v>
      </c>
      <c r="T41" s="3" t="str">
        <f t="shared" si="0"/>
        <v>Y</v>
      </c>
      <c r="U41" s="3" t="str">
        <f t="shared" si="0"/>
        <v>Y</v>
      </c>
      <c r="V41" s="3" t="str">
        <f t="shared" si="0"/>
        <v>N</v>
      </c>
      <c r="W41" s="3" t="str">
        <f t="shared" si="0"/>
        <v>Y</v>
      </c>
      <c r="X41" s="3" t="str">
        <f t="shared" si="1"/>
        <v>Y</v>
      </c>
    </row>
    <row r="42" spans="1:24" x14ac:dyDescent="0.35">
      <c r="A42" s="5" t="s">
        <v>52</v>
      </c>
      <c r="B42" s="3" t="s">
        <v>18</v>
      </c>
      <c r="C42" s="3" t="s">
        <v>18</v>
      </c>
      <c r="D42" s="3" t="s">
        <v>18</v>
      </c>
      <c r="E42" s="3" t="s">
        <v>18</v>
      </c>
      <c r="F42" s="3" t="s">
        <v>18</v>
      </c>
      <c r="G42" s="3" t="s">
        <v>18</v>
      </c>
      <c r="H42" s="3" t="s">
        <v>18</v>
      </c>
      <c r="I42" s="3" t="s">
        <v>18</v>
      </c>
      <c r="J42" s="9"/>
      <c r="K42" s="3" t="str">
        <f t="shared" si="0"/>
        <v>N</v>
      </c>
      <c r="L42" s="3" t="str">
        <f t="shared" si="0"/>
        <v>N</v>
      </c>
      <c r="M42" s="3">
        <f t="shared" si="0"/>
        <v>0</v>
      </c>
      <c r="N42" s="3" t="str">
        <f t="shared" si="0"/>
        <v>N</v>
      </c>
      <c r="O42" s="3" t="str">
        <f t="shared" si="0"/>
        <v>N</v>
      </c>
      <c r="P42" s="3" t="str">
        <f t="shared" si="0"/>
        <v>Y</v>
      </c>
      <c r="Q42" s="3" t="str">
        <f t="shared" si="0"/>
        <v>Y</v>
      </c>
      <c r="R42" s="3" t="str">
        <f t="shared" si="0"/>
        <v>Y</v>
      </c>
      <c r="S42" s="3" t="str">
        <f t="shared" si="0"/>
        <v>Y</v>
      </c>
      <c r="T42" s="3" t="str">
        <f t="shared" si="0"/>
        <v>N</v>
      </c>
      <c r="U42" s="3" t="str">
        <f t="shared" si="0"/>
        <v>Y</v>
      </c>
      <c r="V42" s="3" t="str">
        <f t="shared" si="0"/>
        <v>Y</v>
      </c>
      <c r="W42" s="3" t="str">
        <f t="shared" si="0"/>
        <v>Y</v>
      </c>
      <c r="X42" s="3" t="str">
        <f t="shared" si="1"/>
        <v>Y</v>
      </c>
    </row>
    <row r="43" spans="1:24" x14ac:dyDescent="0.35">
      <c r="A43" s="5" t="s">
        <v>49</v>
      </c>
      <c r="B43" s="3" t="s">
        <v>18</v>
      </c>
      <c r="C43" s="3" t="s">
        <v>18</v>
      </c>
      <c r="D43" s="3" t="s">
        <v>18</v>
      </c>
      <c r="E43" s="3" t="s">
        <v>18</v>
      </c>
      <c r="F43" s="3" t="s">
        <v>18</v>
      </c>
      <c r="G43" s="3" t="s">
        <v>18</v>
      </c>
      <c r="H43" s="3" t="s">
        <v>18</v>
      </c>
      <c r="I43" s="9"/>
      <c r="J43" s="3" t="str">
        <f t="shared" si="0"/>
        <v>Y</v>
      </c>
      <c r="K43" s="3" t="str">
        <f t="shared" si="0"/>
        <v>N</v>
      </c>
      <c r="L43" s="3" t="str">
        <f t="shared" si="0"/>
        <v>N</v>
      </c>
      <c r="M43" s="3">
        <f t="shared" si="0"/>
        <v>0</v>
      </c>
      <c r="N43" s="3" t="str">
        <f t="shared" si="0"/>
        <v>N</v>
      </c>
      <c r="O43" s="3" t="str">
        <f t="shared" si="0"/>
        <v>N</v>
      </c>
      <c r="P43" s="3" t="str">
        <f t="shared" si="0"/>
        <v>Y</v>
      </c>
      <c r="Q43" s="3" t="str">
        <f t="shared" si="0"/>
        <v>Y</v>
      </c>
      <c r="R43" s="3" t="str">
        <f t="shared" si="0"/>
        <v>Y</v>
      </c>
      <c r="S43" s="3" t="str">
        <f t="shared" si="0"/>
        <v>Y</v>
      </c>
      <c r="T43" s="3" t="str">
        <f t="shared" si="0"/>
        <v>N</v>
      </c>
      <c r="U43" s="3" t="str">
        <f t="shared" si="0"/>
        <v>Y</v>
      </c>
      <c r="V43" s="3" t="str">
        <f t="shared" si="0"/>
        <v>Y</v>
      </c>
      <c r="W43" s="3" t="str">
        <f t="shared" si="0"/>
        <v>Y</v>
      </c>
      <c r="X43" s="3" t="str">
        <f t="shared" si="1"/>
        <v>Y</v>
      </c>
    </row>
    <row r="44" spans="1:24" x14ac:dyDescent="0.35">
      <c r="A44" s="5" t="s">
        <v>24</v>
      </c>
      <c r="B44" s="3" t="s">
        <v>18</v>
      </c>
      <c r="C44" s="3" t="s">
        <v>18</v>
      </c>
      <c r="D44" s="3" t="s">
        <v>18</v>
      </c>
      <c r="E44" s="3" t="s">
        <v>18</v>
      </c>
      <c r="F44" s="3" t="s">
        <v>18</v>
      </c>
      <c r="G44" s="3" t="s">
        <v>18</v>
      </c>
      <c r="H44" s="9"/>
      <c r="I44" s="3" t="str">
        <f t="shared" si="0"/>
        <v>N</v>
      </c>
      <c r="J44" s="3" t="str">
        <f t="shared" si="0"/>
        <v>N</v>
      </c>
      <c r="K44" s="3" t="str">
        <f t="shared" si="0"/>
        <v>N</v>
      </c>
      <c r="L44" s="3" t="str">
        <f t="shared" si="0"/>
        <v>Y</v>
      </c>
      <c r="M44" s="3">
        <f t="shared" si="0"/>
        <v>0</v>
      </c>
      <c r="N44" s="3" t="str">
        <f t="shared" si="0"/>
        <v>Y</v>
      </c>
      <c r="O44" s="3" t="str">
        <f t="shared" si="0"/>
        <v>Y</v>
      </c>
      <c r="P44" s="3" t="str">
        <f t="shared" si="0"/>
        <v>N</v>
      </c>
      <c r="Q44" s="3" t="str">
        <f t="shared" si="0"/>
        <v>N</v>
      </c>
      <c r="R44" s="3" t="str">
        <f t="shared" si="0"/>
        <v>Y</v>
      </c>
      <c r="S44" s="3" t="str">
        <f t="shared" si="0"/>
        <v>Y</v>
      </c>
      <c r="T44" s="3" t="str">
        <f t="shared" si="0"/>
        <v>N</v>
      </c>
      <c r="U44" s="3" t="str">
        <f t="shared" si="0"/>
        <v>Y</v>
      </c>
      <c r="V44" s="3" t="str">
        <f t="shared" si="0"/>
        <v>N</v>
      </c>
      <c r="W44" s="3" t="str">
        <f t="shared" si="0"/>
        <v>Y</v>
      </c>
      <c r="X44" s="3" t="str">
        <f t="shared" ref="X44" si="2">X18</f>
        <v>Y</v>
      </c>
    </row>
    <row r="45" spans="1:24" x14ac:dyDescent="0.35">
      <c r="A45" s="6" t="s">
        <v>32</v>
      </c>
      <c r="B45" s="3" t="s">
        <v>18</v>
      </c>
      <c r="C45" s="3" t="s">
        <v>18</v>
      </c>
      <c r="D45" s="3" t="s">
        <v>18</v>
      </c>
      <c r="E45" s="3" t="s">
        <v>18</v>
      </c>
      <c r="F45" s="3" t="s">
        <v>18</v>
      </c>
      <c r="G45" s="9"/>
      <c r="H45" s="3" t="str">
        <f t="shared" si="0"/>
        <v>Y</v>
      </c>
      <c r="I45" s="3" t="str">
        <f t="shared" si="0"/>
        <v>N</v>
      </c>
      <c r="J45" s="3" t="str">
        <f t="shared" si="0"/>
        <v>N</v>
      </c>
      <c r="K45" s="3" t="str">
        <f t="shared" si="0"/>
        <v>Y</v>
      </c>
      <c r="L45" s="3" t="str">
        <f t="shared" si="0"/>
        <v>Y</v>
      </c>
      <c r="M45" s="3">
        <f t="shared" si="0"/>
        <v>0</v>
      </c>
      <c r="N45" s="3" t="str">
        <f t="shared" si="0"/>
        <v>Y</v>
      </c>
      <c r="O45" s="3" t="str">
        <f t="shared" si="0"/>
        <v>Y</v>
      </c>
      <c r="P45" s="3" t="str">
        <f t="shared" si="0"/>
        <v>N</v>
      </c>
      <c r="Q45" s="3" t="str">
        <f t="shared" si="0"/>
        <v>Y</v>
      </c>
      <c r="R45" s="3" t="str">
        <f t="shared" si="0"/>
        <v>Y</v>
      </c>
      <c r="S45" s="3" t="str">
        <f t="shared" si="0"/>
        <v>Y</v>
      </c>
      <c r="T45" s="3" t="str">
        <f t="shared" si="0"/>
        <v>Y</v>
      </c>
      <c r="U45" s="3" t="str">
        <f t="shared" si="0"/>
        <v>Y</v>
      </c>
      <c r="V45" s="3" t="str">
        <f t="shared" si="0"/>
        <v>N</v>
      </c>
      <c r="W45" s="3" t="str">
        <f t="shared" si="0"/>
        <v>Y</v>
      </c>
      <c r="X45" s="3" t="str">
        <f t="shared" ref="X45" si="3">X19</f>
        <v>Y</v>
      </c>
    </row>
    <row r="46" spans="1:24" x14ac:dyDescent="0.35">
      <c r="A46" s="6" t="s">
        <v>26</v>
      </c>
      <c r="B46" s="3" t="s">
        <v>18</v>
      </c>
      <c r="C46" s="3" t="s">
        <v>18</v>
      </c>
      <c r="D46" s="3" t="s">
        <v>18</v>
      </c>
      <c r="E46" s="3" t="s">
        <v>18</v>
      </c>
      <c r="F46" s="9"/>
      <c r="G46" s="3" t="str">
        <f t="shared" si="0"/>
        <v>N</v>
      </c>
      <c r="H46" s="3" t="str">
        <f t="shared" si="0"/>
        <v>Y</v>
      </c>
      <c r="I46" s="3" t="str">
        <f t="shared" si="0"/>
        <v>N</v>
      </c>
      <c r="J46" s="3" t="str">
        <f t="shared" si="0"/>
        <v>N</v>
      </c>
      <c r="K46" s="3" t="str">
        <f t="shared" si="0"/>
        <v>N</v>
      </c>
      <c r="L46" s="3" t="str">
        <f t="shared" si="0"/>
        <v>N</v>
      </c>
      <c r="M46" s="3">
        <f t="shared" si="0"/>
        <v>0</v>
      </c>
      <c r="N46" s="3" t="str">
        <f t="shared" si="0"/>
        <v>N</v>
      </c>
      <c r="O46" s="3" t="str">
        <f t="shared" si="0"/>
        <v>N</v>
      </c>
      <c r="P46" s="3" t="str">
        <f t="shared" si="0"/>
        <v>N</v>
      </c>
      <c r="Q46" s="3" t="str">
        <f t="shared" si="0"/>
        <v>N</v>
      </c>
      <c r="R46" s="3" t="str">
        <f t="shared" si="0"/>
        <v>N</v>
      </c>
      <c r="S46" s="3" t="str">
        <f t="shared" si="0"/>
        <v>N</v>
      </c>
      <c r="T46" s="3" t="str">
        <f t="shared" si="0"/>
        <v>N</v>
      </c>
      <c r="U46" s="3" t="str">
        <f t="shared" si="0"/>
        <v>N</v>
      </c>
      <c r="V46" s="3" t="str">
        <f t="shared" si="0"/>
        <v>N</v>
      </c>
      <c r="W46" s="3" t="str">
        <f t="shared" si="0"/>
        <v>Y</v>
      </c>
      <c r="X46" s="6" t="s">
        <v>19</v>
      </c>
    </row>
    <row r="47" spans="1:24" x14ac:dyDescent="0.35">
      <c r="A47" s="5" t="s">
        <v>25</v>
      </c>
      <c r="B47" s="3" t="s">
        <v>18</v>
      </c>
      <c r="C47" s="3" t="s">
        <v>18</v>
      </c>
      <c r="D47" s="3" t="s">
        <v>18</v>
      </c>
      <c r="E47" s="9"/>
      <c r="F47" s="3" t="str">
        <f t="shared" si="0"/>
        <v>N</v>
      </c>
      <c r="G47" s="3" t="str">
        <f t="shared" si="0"/>
        <v>Y</v>
      </c>
      <c r="H47" s="3" t="str">
        <f t="shared" si="0"/>
        <v>N</v>
      </c>
      <c r="I47" s="3" t="str">
        <f t="shared" si="0"/>
        <v>Y</v>
      </c>
      <c r="J47" s="3" t="str">
        <f t="shared" si="0"/>
        <v>Y</v>
      </c>
      <c r="K47" s="3" t="str">
        <f t="shared" si="0"/>
        <v>Y</v>
      </c>
      <c r="L47" s="3" t="str">
        <f t="shared" si="0"/>
        <v>Y</v>
      </c>
      <c r="M47" s="3">
        <f t="shared" si="0"/>
        <v>0</v>
      </c>
      <c r="N47" s="3" t="str">
        <f t="shared" si="0"/>
        <v>Y</v>
      </c>
      <c r="O47" s="3" t="str">
        <f t="shared" si="0"/>
        <v>Y</v>
      </c>
      <c r="P47" s="3" t="str">
        <f t="shared" si="0"/>
        <v>Y</v>
      </c>
      <c r="Q47" s="3" t="str">
        <f t="shared" si="0"/>
        <v>N</v>
      </c>
      <c r="R47" s="3" t="str">
        <f t="shared" si="0"/>
        <v>N</v>
      </c>
      <c r="S47" s="3" t="str">
        <f t="shared" si="0"/>
        <v>N</v>
      </c>
      <c r="T47" s="3" t="str">
        <f t="shared" si="0"/>
        <v>Y</v>
      </c>
      <c r="U47" s="3" t="str">
        <f t="shared" si="0"/>
        <v>N</v>
      </c>
      <c r="V47" s="3" t="str">
        <f t="shared" si="0"/>
        <v>Y</v>
      </c>
      <c r="W47" s="3" t="str">
        <f t="shared" si="0"/>
        <v>Y</v>
      </c>
      <c r="X47" s="6" t="s">
        <v>19</v>
      </c>
    </row>
    <row r="48" spans="1:24" x14ac:dyDescent="0.35">
      <c r="A48" s="6" t="s">
        <v>35</v>
      </c>
      <c r="B48" s="3" t="s">
        <v>18</v>
      </c>
      <c r="C48" s="3" t="s">
        <v>18</v>
      </c>
      <c r="D48" s="9"/>
      <c r="E48" s="3" t="str">
        <f>E22</f>
        <v>N</v>
      </c>
      <c r="F48" s="3" t="str">
        <f t="shared" si="0"/>
        <v>N</v>
      </c>
      <c r="G48" s="3" t="str">
        <f t="shared" si="0"/>
        <v>N</v>
      </c>
      <c r="H48" s="3" t="str">
        <f t="shared" si="0"/>
        <v>N</v>
      </c>
      <c r="I48" s="3" t="str">
        <f t="shared" si="0"/>
        <v>N</v>
      </c>
      <c r="J48" s="3" t="str">
        <f t="shared" si="0"/>
        <v>N</v>
      </c>
      <c r="K48" s="3" t="str">
        <f t="shared" si="0"/>
        <v>N</v>
      </c>
      <c r="L48" s="3" t="str">
        <f t="shared" si="0"/>
        <v>N</v>
      </c>
      <c r="M48" s="3">
        <f t="shared" si="0"/>
        <v>0</v>
      </c>
      <c r="N48" s="3" t="str">
        <f t="shared" si="0"/>
        <v>Y</v>
      </c>
      <c r="O48" s="3" t="str">
        <f t="shared" si="0"/>
        <v>N</v>
      </c>
      <c r="P48" s="3" t="str">
        <f t="shared" si="0"/>
        <v>Y</v>
      </c>
      <c r="Q48" s="3" t="str">
        <f t="shared" si="0"/>
        <v>Y</v>
      </c>
      <c r="R48" s="3" t="str">
        <f t="shared" si="0"/>
        <v>Y</v>
      </c>
      <c r="S48" s="3" t="str">
        <f t="shared" si="0"/>
        <v>N</v>
      </c>
      <c r="T48" s="3" t="str">
        <f t="shared" si="0"/>
        <v>Y</v>
      </c>
      <c r="U48" s="3" t="str">
        <f t="shared" si="0"/>
        <v>N</v>
      </c>
      <c r="V48" s="3" t="str">
        <f t="shared" si="0"/>
        <v>Y</v>
      </c>
      <c r="W48" s="3" t="str">
        <f t="shared" si="0"/>
        <v>Y</v>
      </c>
      <c r="X48" s="6" t="s">
        <v>19</v>
      </c>
    </row>
    <row r="49" spans="1:24" x14ac:dyDescent="0.35">
      <c r="A49" s="6" t="s">
        <v>27</v>
      </c>
      <c r="B49" s="3" t="s">
        <v>18</v>
      </c>
      <c r="C49" s="9"/>
      <c r="D49" s="3" t="str">
        <f t="shared" ref="D49:W50" si="4">D23</f>
        <v>N</v>
      </c>
      <c r="E49" s="3" t="str">
        <f t="shared" si="4"/>
        <v>N</v>
      </c>
      <c r="F49" s="3" t="str">
        <f t="shared" si="4"/>
        <v>N</v>
      </c>
      <c r="G49" s="3" t="str">
        <f t="shared" si="4"/>
        <v>N</v>
      </c>
      <c r="H49" s="3" t="str">
        <f t="shared" si="4"/>
        <v>N</v>
      </c>
      <c r="I49" s="3" t="str">
        <f t="shared" si="4"/>
        <v>N</v>
      </c>
      <c r="J49" s="3" t="str">
        <f t="shared" si="4"/>
        <v>N</v>
      </c>
      <c r="K49" s="3" t="str">
        <f t="shared" si="4"/>
        <v>N</v>
      </c>
      <c r="L49" s="3" t="str">
        <f t="shared" si="4"/>
        <v>N</v>
      </c>
      <c r="M49" s="3">
        <f t="shared" si="4"/>
        <v>0</v>
      </c>
      <c r="N49" s="3" t="str">
        <f t="shared" si="4"/>
        <v>N</v>
      </c>
      <c r="O49" s="3" t="str">
        <f t="shared" si="4"/>
        <v>Y</v>
      </c>
      <c r="P49" s="3" t="str">
        <f t="shared" si="4"/>
        <v>N</v>
      </c>
      <c r="Q49" s="3" t="str">
        <f t="shared" si="4"/>
        <v>N</v>
      </c>
      <c r="R49" s="3" t="str">
        <f t="shared" si="4"/>
        <v>N</v>
      </c>
      <c r="S49" s="3" t="str">
        <f t="shared" si="4"/>
        <v>N</v>
      </c>
      <c r="T49" s="3" t="str">
        <f t="shared" si="4"/>
        <v>Y</v>
      </c>
      <c r="U49" s="3" t="str">
        <f t="shared" si="4"/>
        <v>N</v>
      </c>
      <c r="V49" s="3" t="str">
        <f t="shared" si="4"/>
        <v>Y</v>
      </c>
      <c r="W49" s="3" t="str">
        <f t="shared" si="4"/>
        <v>Y</v>
      </c>
      <c r="X49" s="6" t="s">
        <v>19</v>
      </c>
    </row>
    <row r="50" spans="1:24" x14ac:dyDescent="0.35">
      <c r="A50" s="8" t="s">
        <v>42</v>
      </c>
      <c r="B50" s="9"/>
      <c r="C50" s="3" t="str">
        <f>C24</f>
        <v>Y</v>
      </c>
      <c r="D50" s="3" t="str">
        <f t="shared" si="4"/>
        <v>Y</v>
      </c>
      <c r="E50" s="3" t="str">
        <f t="shared" si="4"/>
        <v>Y</v>
      </c>
      <c r="F50" s="3" t="str">
        <f t="shared" si="4"/>
        <v>N</v>
      </c>
      <c r="G50" s="3" t="str">
        <f t="shared" si="4"/>
        <v>Y</v>
      </c>
      <c r="H50" s="3" t="str">
        <f t="shared" si="4"/>
        <v>Y</v>
      </c>
      <c r="I50" s="3" t="str">
        <f t="shared" si="4"/>
        <v>Y</v>
      </c>
      <c r="J50" s="3" t="str">
        <f t="shared" si="4"/>
        <v>Y</v>
      </c>
      <c r="K50" s="3" t="str">
        <f t="shared" si="4"/>
        <v>N</v>
      </c>
      <c r="L50" s="3" t="str">
        <f t="shared" si="4"/>
        <v>N</v>
      </c>
      <c r="M50" s="3">
        <f t="shared" si="4"/>
        <v>0</v>
      </c>
      <c r="N50" s="3" t="str">
        <f t="shared" si="4"/>
        <v>Y</v>
      </c>
      <c r="O50" s="3" t="str">
        <f t="shared" si="4"/>
        <v>N</v>
      </c>
      <c r="P50" s="3" t="str">
        <f t="shared" si="4"/>
        <v>N</v>
      </c>
      <c r="Q50" s="3" t="str">
        <f t="shared" si="4"/>
        <v>N</v>
      </c>
      <c r="R50" s="3" t="str">
        <f t="shared" si="4"/>
        <v>Y</v>
      </c>
      <c r="S50" s="3" t="str">
        <f t="shared" si="4"/>
        <v>N</v>
      </c>
      <c r="T50" s="3" t="str">
        <f t="shared" si="4"/>
        <v>Y</v>
      </c>
      <c r="U50" s="3" t="str">
        <f t="shared" si="4"/>
        <v>Y</v>
      </c>
      <c r="V50" s="3" t="str">
        <f t="shared" si="4"/>
        <v>N</v>
      </c>
      <c r="W50" s="3" t="str">
        <f t="shared" si="4"/>
        <v>Y</v>
      </c>
      <c r="X50" s="6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3b39ba-cd34-4137-979a-2cb260e5d7e4">
      <Terms xmlns="http://schemas.microsoft.com/office/infopath/2007/PartnerControls"/>
    </lcf76f155ced4ddcb4097134ff3c332f>
    <TaxCatchAll xmlns="0798a702-1754-4037-98c5-aa49f2aaa91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5F46AB9A849A4387A83C5CE2FE7B81" ma:contentTypeVersion="18" ma:contentTypeDescription="Create a new document." ma:contentTypeScope="" ma:versionID="a1aa2c1dcef77ebe159a6506131f8da2">
  <xsd:schema xmlns:xsd="http://www.w3.org/2001/XMLSchema" xmlns:xs="http://www.w3.org/2001/XMLSchema" xmlns:p="http://schemas.microsoft.com/office/2006/metadata/properties" xmlns:ns2="0798a702-1754-4037-98c5-aa49f2aaa91f" xmlns:ns3="313b39ba-cd34-4137-979a-2cb260e5d7e4" targetNamespace="http://schemas.microsoft.com/office/2006/metadata/properties" ma:root="true" ma:fieldsID="98039b710c1f1a7774aa4db93d3c4dee" ns2:_="" ns3:_="">
    <xsd:import namespace="0798a702-1754-4037-98c5-aa49f2aaa91f"/>
    <xsd:import namespace="313b39ba-cd34-4137-979a-2cb260e5d7e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98a702-1754-4037-98c5-aa49f2aaa91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7ba24c81-a666-4daf-9e90-dde654db55de}" ma:internalName="TaxCatchAll" ma:showField="CatchAllData" ma:web="0798a702-1754-4037-98c5-aa49f2aaa91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3b39ba-cd34-4137-979a-2cb260e5d7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5d02d2-2acc-434b-b7bb-812ff22cbf3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EFE323-3D1B-4DC0-B024-51FFAD4E88C2}">
  <ds:schemaRefs>
    <ds:schemaRef ds:uri="http://purl.org/dc/dcmitype/"/>
    <ds:schemaRef ds:uri="http://schemas.openxmlformats.org/package/2006/metadata/core-properties"/>
    <ds:schemaRef ds:uri="313b39ba-cd34-4137-979a-2cb260e5d7e4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0798a702-1754-4037-98c5-aa49f2aaa91f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7CD547B-5EDE-45D9-B7A0-73072AE958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98a702-1754-4037-98c5-aa49f2aaa91f"/>
    <ds:schemaRef ds:uri="313b39ba-cd34-4137-979a-2cb260e5d7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15855BB-E978-41E2-8260-5A8FA3CF918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Xcorrels Coke Brazil</vt:lpstr>
      <vt:lpstr>Xcorrels Fanta Brazil</vt:lpstr>
      <vt:lpstr>Xcorrels Sprite Brazil</vt:lpstr>
      <vt:lpstr>Endorsement Brazil</vt:lpstr>
      <vt:lpstr>BIPs Brazil</vt:lpstr>
      <vt:lpstr>CorrespondenceMap Brazil</vt:lpstr>
      <vt:lpstr>F1</vt:lpstr>
      <vt:lpstr>TEMP</vt:lpstr>
      <vt:lpstr>Sheet8</vt:lpstr>
      <vt:lpstr>Sheet5</vt:lpstr>
      <vt:lpstr>Sheet1</vt:lpstr>
      <vt:lpstr>Sheet2</vt:lpstr>
      <vt:lpstr>Sheet3</vt:lpstr>
      <vt:lpstr>Sheet4</vt:lpstr>
      <vt:lpstr>Sheet7</vt:lpstr>
      <vt:lpstr>Sheet6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Howes, Rebecca (MBWAR st)</dc:creator>
  <cp:keywords/>
  <dc:description/>
  <cp:lastModifiedBy>V, Mohanraj (KTBGL)</cp:lastModifiedBy>
  <cp:revision/>
  <dcterms:created xsi:type="dcterms:W3CDTF">2019-01-20T16:15:51Z</dcterms:created>
  <dcterms:modified xsi:type="dcterms:W3CDTF">2023-11-22T10:42:34Z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0x010100415F46AB9A849A4387A83C5CE2FE7B81</vt:lpwstr>
  </property>
  <property fmtid="{D5CDD505-2E9C-101B-9397-08002B2CF9AE}" pid="3" name="MediaServiceImageTags">
    <vt:lpwstr/>
  </property>
  <property fmtid="{D5CDD505-2E9C-101B-9397-08002B2CF9AE}" pid="4" name="MSIP_Label_3741da7a-79c1-417c-b408-16c0bfe99fca_Enabled">
    <vt:lpwstr>true</vt:lpwstr>
  </property>
  <property fmtid="{D5CDD505-2E9C-101B-9397-08002B2CF9AE}" pid="5" name="MSIP_Label_3741da7a-79c1-417c-b408-16c0bfe99fca_SetDate">
    <vt:lpwstr>2023-06-21T09:48:44Z</vt:lpwstr>
  </property>
  <property fmtid="{D5CDD505-2E9C-101B-9397-08002B2CF9AE}" pid="6" name="MSIP_Label_3741da7a-79c1-417c-b408-16c0bfe99fca_Method">
    <vt:lpwstr>Standard</vt:lpwstr>
  </property>
  <property fmtid="{D5CDD505-2E9C-101B-9397-08002B2CF9AE}" pid="7" name="MSIP_Label_3741da7a-79c1-417c-b408-16c0bfe99fca_Name">
    <vt:lpwstr>Internal Only - Amber</vt:lpwstr>
  </property>
  <property fmtid="{D5CDD505-2E9C-101B-9397-08002B2CF9AE}" pid="8" name="MSIP_Label_3741da7a-79c1-417c-b408-16c0bfe99fca_SiteId">
    <vt:lpwstr>1e355c04-e0a4-42ed-8e2d-7351591f0ef1</vt:lpwstr>
  </property>
  <property fmtid="{D5CDD505-2E9C-101B-9397-08002B2CF9AE}" pid="9" name="MSIP_Label_3741da7a-79c1-417c-b408-16c0bfe99fca_ActionId">
    <vt:lpwstr>222ea3e8-8ef9-4c7b-b37d-1b01460fb210</vt:lpwstr>
  </property>
  <property fmtid="{D5CDD505-2E9C-101B-9397-08002B2CF9AE}" pid="10" name="MSIP_Label_3741da7a-79c1-417c-b408-16c0bfe99fca_ContentBits">
    <vt:lpwstr>0</vt:lpwstr>
  </property>
</Properties>
</file>